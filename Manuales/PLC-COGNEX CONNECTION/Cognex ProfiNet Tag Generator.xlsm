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cognexcorporation-my.sharepoint.com/personal/matthew_taylor_cognex_com/Documents/Desktop/Comms/Protocols/ProfiNET/ProfiNet Tag Generator Project/"/>
    </mc:Choice>
  </mc:AlternateContent>
  <xr:revisionPtr revIDLastSave="0" documentId="8_{655415A9-9DAD-4283-B351-0EA5897B5A3F}" xr6:coauthVersionLast="47" xr6:coauthVersionMax="47" xr10:uidLastSave="{00000000-0000-0000-0000-000000000000}"/>
  <bookViews>
    <workbookView xWindow="-108" yWindow="-108" windowWidth="23256" windowHeight="13896" tabRatio="774" activeTab="2" xr2:uid="{00000000-000D-0000-FFFF-FFFF00000000}"/>
  </bookViews>
  <sheets>
    <sheet name="Snapp" sheetId="13" r:id="rId1"/>
    <sheet name="Dataman" sheetId="14" r:id="rId2"/>
    <sheet name="IS2800- IS3800" sheetId="12" r:id="rId3"/>
    <sheet name="In-Sight 5X-6X" sheetId="4" r:id="rId4"/>
    <sheet name="D90X" sheetId="10" r:id="rId5"/>
    <sheet name="L4000" sheetId="11" r:id="rId6"/>
    <sheet name="In-Sight 4X" sheetId="3" r:id="rId7"/>
    <sheet name="VIDIPC" sheetId="6" r:id="rId8"/>
    <sheet name="Profiler" sheetId="5" r:id="rId9"/>
    <sheet name="CC24 &amp; VC5" sheetId="8" r:id="rId10"/>
  </sheets>
  <definedNames>
    <definedName name="AcquisitionControlModule" localSheetId="6">'In-Sight 4X'!$A$6</definedName>
    <definedName name="AcquisitionStatusModule" localSheetId="6">'In-Sight 4X'!$A$7</definedName>
    <definedName name="InspectionControlModule" localSheetId="6">'In-Sight 4X'!$A$8</definedName>
    <definedName name="InspectionResultsModule" localSheetId="6">'In-Sight 4X'!$A$14</definedName>
    <definedName name="InspectionStatusModule" localSheetId="6">'In-Sight 4X'!$A$9</definedName>
    <definedName name="JobControlInputModule" localSheetId="6">'In-Sight 4X'!$A$10</definedName>
    <definedName name="UserDataModule" localSheetId="6">'In-Sight 4X'!$A$13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3" i="14" l="1"/>
  <c r="B102" i="14"/>
  <c r="B101" i="14"/>
  <c r="B100" i="14"/>
  <c r="B99" i="14"/>
  <c r="B98" i="14"/>
  <c r="B97" i="14"/>
  <c r="A97" i="14"/>
  <c r="B96" i="14"/>
  <c r="B95" i="14"/>
  <c r="B94" i="14"/>
  <c r="B93" i="14"/>
  <c r="B92" i="14"/>
  <c r="B91" i="14"/>
  <c r="B90" i="14"/>
  <c r="B89" i="14"/>
  <c r="A89" i="14"/>
  <c r="B88" i="14"/>
  <c r="B87" i="14"/>
  <c r="B86" i="14"/>
  <c r="B85" i="14"/>
  <c r="B84" i="14"/>
  <c r="B83" i="14"/>
  <c r="F76" i="14"/>
  <c r="A103" i="14" s="1"/>
  <c r="B82" i="14"/>
  <c r="F75" i="14"/>
  <c r="A102" i="14" s="1"/>
  <c r="B81" i="14"/>
  <c r="F74" i="14"/>
  <c r="A101" i="14" s="1"/>
  <c r="B80" i="14"/>
  <c r="F73" i="14"/>
  <c r="A100" i="14" s="1"/>
  <c r="B79" i="14"/>
  <c r="F72" i="14"/>
  <c r="A99" i="14" s="1"/>
  <c r="B78" i="14"/>
  <c r="F71" i="14"/>
  <c r="A98" i="14" s="1"/>
  <c r="B77" i="14"/>
  <c r="F70" i="14"/>
  <c r="B76" i="14"/>
  <c r="F69" i="14"/>
  <c r="A96" i="14" s="1"/>
  <c r="B75" i="14"/>
  <c r="F68" i="14"/>
  <c r="A95" i="14" s="1"/>
  <c r="B74" i="14"/>
  <c r="F67" i="14"/>
  <c r="A94" i="14" s="1"/>
  <c r="B73" i="14"/>
  <c r="F66" i="14"/>
  <c r="A93" i="14" s="1"/>
  <c r="B72" i="14"/>
  <c r="A72" i="14"/>
  <c r="F65" i="14"/>
  <c r="A92" i="14" s="1"/>
  <c r="B71" i="14"/>
  <c r="F64" i="14"/>
  <c r="A91" i="14" s="1"/>
  <c r="B70" i="14"/>
  <c r="A70" i="14"/>
  <c r="F63" i="14"/>
  <c r="A90" i="14" s="1"/>
  <c r="B69" i="14"/>
  <c r="F62" i="14"/>
  <c r="B68" i="14"/>
  <c r="Q61" i="14"/>
  <c r="H61" i="14" s="1"/>
  <c r="C88" i="14" s="1"/>
  <c r="F61" i="14"/>
  <c r="A88" i="14" s="1"/>
  <c r="B67" i="14"/>
  <c r="Q60" i="14"/>
  <c r="H60" i="14"/>
  <c r="C87" i="14" s="1"/>
  <c r="F60" i="14"/>
  <c r="A87" i="14" s="1"/>
  <c r="B66" i="14"/>
  <c r="Q59" i="14"/>
  <c r="H59" i="14" s="1"/>
  <c r="C86" i="14" s="1"/>
  <c r="F59" i="14"/>
  <c r="A86" i="14" s="1"/>
  <c r="B65" i="14"/>
  <c r="F58" i="14"/>
  <c r="A85" i="14" s="1"/>
  <c r="B64" i="14"/>
  <c r="F57" i="14"/>
  <c r="A84" i="14" s="1"/>
  <c r="B63" i="14"/>
  <c r="F56" i="14"/>
  <c r="A83" i="14" s="1"/>
  <c r="B62" i="14"/>
  <c r="F55" i="14"/>
  <c r="A82" i="14" s="1"/>
  <c r="C61" i="14"/>
  <c r="B61" i="14"/>
  <c r="F54" i="14"/>
  <c r="A81" i="14" s="1"/>
  <c r="B60" i="14"/>
  <c r="Q53" i="14"/>
  <c r="H58" i="14" s="1"/>
  <c r="C85" i="14" s="1"/>
  <c r="F53" i="14"/>
  <c r="A80" i="14" s="1"/>
  <c r="B59" i="14"/>
  <c r="Q52" i="14"/>
  <c r="H52" i="14" s="1"/>
  <c r="C79" i="14" s="1"/>
  <c r="F52" i="14"/>
  <c r="A79" i="14" s="1"/>
  <c r="B58" i="14"/>
  <c r="F51" i="14"/>
  <c r="A78" i="14" s="1"/>
  <c r="B57" i="14"/>
  <c r="F50" i="14"/>
  <c r="A77" i="14" s="1"/>
  <c r="B56" i="14"/>
  <c r="F49" i="14"/>
  <c r="A76" i="14" s="1"/>
  <c r="B55" i="14"/>
  <c r="F48" i="14"/>
  <c r="A75" i="14" s="1"/>
  <c r="B54" i="14"/>
  <c r="A54" i="14"/>
  <c r="F47" i="14"/>
  <c r="A74" i="14" s="1"/>
  <c r="B53" i="14"/>
  <c r="F46" i="14"/>
  <c r="A73" i="14" s="1"/>
  <c r="B52" i="14"/>
  <c r="F45" i="14"/>
  <c r="B51" i="14"/>
  <c r="F44" i="14"/>
  <c r="A71" i="14" s="1"/>
  <c r="B50" i="14"/>
  <c r="A50" i="14"/>
  <c r="F43" i="14"/>
  <c r="B49" i="14"/>
  <c r="F42" i="14"/>
  <c r="A69" i="14" s="1"/>
  <c r="B48" i="14"/>
  <c r="F41" i="14"/>
  <c r="A68" i="14" s="1"/>
  <c r="B47" i="14"/>
  <c r="F40" i="14"/>
  <c r="A67" i="14" s="1"/>
  <c r="B46" i="14"/>
  <c r="A46" i="14"/>
  <c r="F39" i="14"/>
  <c r="A66" i="14" s="1"/>
  <c r="B45" i="14"/>
  <c r="A45" i="14"/>
  <c r="F38" i="14"/>
  <c r="A65" i="14" s="1"/>
  <c r="B44" i="14"/>
  <c r="F37" i="14"/>
  <c r="A64" i="14" s="1"/>
  <c r="B43" i="14"/>
  <c r="Q36" i="14"/>
  <c r="Q37" i="14" s="1"/>
  <c r="H37" i="14" s="1"/>
  <c r="C64" i="14" s="1"/>
  <c r="H36" i="14"/>
  <c r="C63" i="14" s="1"/>
  <c r="F36" i="14"/>
  <c r="A63" i="14" s="1"/>
  <c r="B42" i="14"/>
  <c r="Q35" i="14"/>
  <c r="H35" i="14" s="1"/>
  <c r="C62" i="14" s="1"/>
  <c r="F35" i="14"/>
  <c r="A62" i="14" s="1"/>
  <c r="B41" i="14"/>
  <c r="Q34" i="14"/>
  <c r="H34" i="14"/>
  <c r="F34" i="14"/>
  <c r="A61" i="14" s="1"/>
  <c r="C40" i="14"/>
  <c r="B40" i="14"/>
  <c r="H33" i="14"/>
  <c r="C60" i="14" s="1"/>
  <c r="F33" i="14"/>
  <c r="A60" i="14" s="1"/>
  <c r="B39" i="14"/>
  <c r="H32" i="14"/>
  <c r="C58" i="14" s="1"/>
  <c r="F32" i="14"/>
  <c r="A58" i="14" s="1"/>
  <c r="B38" i="14"/>
  <c r="H31" i="14"/>
  <c r="C56" i="14" s="1"/>
  <c r="F31" i="14"/>
  <c r="A56" i="14" s="1"/>
  <c r="H30" i="14"/>
  <c r="C54" i="14" s="1"/>
  <c r="F30" i="14"/>
  <c r="B36" i="14"/>
  <c r="H29" i="14"/>
  <c r="C52" i="14" s="1"/>
  <c r="F29" i="14"/>
  <c r="A52" i="14" s="1"/>
  <c r="C35" i="14"/>
  <c r="B35" i="14"/>
  <c r="H28" i="14"/>
  <c r="C50" i="14" s="1"/>
  <c r="F28" i="14"/>
  <c r="B34" i="14"/>
  <c r="H27" i="14"/>
  <c r="C48" i="14" s="1"/>
  <c r="F27" i="14"/>
  <c r="A48" i="14" s="1"/>
  <c r="B33" i="14"/>
  <c r="H26" i="14"/>
  <c r="C59" i="14" s="1"/>
  <c r="F26" i="14"/>
  <c r="A59" i="14" s="1"/>
  <c r="H25" i="14"/>
  <c r="C57" i="14" s="1"/>
  <c r="F25" i="14"/>
  <c r="A57" i="14" s="1"/>
  <c r="H24" i="14"/>
  <c r="C55" i="14" s="1"/>
  <c r="F24" i="14"/>
  <c r="A55" i="14" s="1"/>
  <c r="H23" i="14"/>
  <c r="C53" i="14" s="1"/>
  <c r="F23" i="14"/>
  <c r="A53" i="14" s="1"/>
  <c r="H22" i="14"/>
  <c r="C51" i="14" s="1"/>
  <c r="F22" i="14"/>
  <c r="A51" i="14" s="1"/>
  <c r="H21" i="14"/>
  <c r="C49" i="14" s="1"/>
  <c r="F21" i="14"/>
  <c r="A49" i="14" s="1"/>
  <c r="H20" i="14"/>
  <c r="C47" i="14" s="1"/>
  <c r="F20" i="14"/>
  <c r="A47" i="14" s="1"/>
  <c r="H19" i="14"/>
  <c r="C46" i="14" s="1"/>
  <c r="F19" i="14"/>
  <c r="H18" i="14"/>
  <c r="C45" i="14" s="1"/>
  <c r="F18" i="14"/>
  <c r="H17" i="14"/>
  <c r="C44" i="14" s="1"/>
  <c r="F17" i="14"/>
  <c r="A44" i="14" s="1"/>
  <c r="H16" i="14"/>
  <c r="C41" i="14" s="1"/>
  <c r="F16" i="14"/>
  <c r="A41" i="14" s="1"/>
  <c r="H15" i="14"/>
  <c r="F15" i="14"/>
  <c r="A40" i="14" s="1"/>
  <c r="H14" i="14"/>
  <c r="C43" i="14" s="1"/>
  <c r="F14" i="14"/>
  <c r="A43" i="14" s="1"/>
  <c r="H13" i="14"/>
  <c r="C42" i="14" s="1"/>
  <c r="F13" i="14"/>
  <c r="A42" i="14" s="1"/>
  <c r="Q12" i="14"/>
  <c r="H12" i="14" s="1"/>
  <c r="C37" i="14" s="1"/>
  <c r="F12" i="14"/>
  <c r="A37" i="14" s="1"/>
  <c r="H11" i="14"/>
  <c r="C38" i="14" s="1"/>
  <c r="F11" i="14"/>
  <c r="A38" i="14" s="1"/>
  <c r="H10" i="14"/>
  <c r="C39" i="14" s="1"/>
  <c r="F10" i="14"/>
  <c r="A39" i="14" s="1"/>
  <c r="H9" i="14"/>
  <c r="C36" i="14" s="1"/>
  <c r="F9" i="14"/>
  <c r="A36" i="14" s="1"/>
  <c r="H8" i="14"/>
  <c r="C34" i="14" s="1"/>
  <c r="F8" i="14"/>
  <c r="A34" i="14" s="1"/>
  <c r="H7" i="14"/>
  <c r="F7" i="14"/>
  <c r="A35" i="14" s="1"/>
  <c r="H6" i="14"/>
  <c r="C33" i="14" s="1"/>
  <c r="F6" i="14"/>
  <c r="A33" i="14" s="1"/>
  <c r="Q62" i="14" l="1"/>
  <c r="H54" i="14"/>
  <c r="C81" i="14" s="1"/>
  <c r="H56" i="14"/>
  <c r="C83" i="14" s="1"/>
  <c r="Q38" i="14"/>
  <c r="H57" i="14"/>
  <c r="C84" i="14" s="1"/>
  <c r="H55" i="14"/>
  <c r="C82" i="14" s="1"/>
  <c r="H53" i="14"/>
  <c r="C80" i="14" s="1"/>
  <c r="Q63" i="14" l="1"/>
  <c r="H62" i="14"/>
  <c r="C89" i="14" s="1"/>
  <c r="H38" i="14"/>
  <c r="C65" i="14" s="1"/>
  <c r="Q39" i="14"/>
  <c r="H63" i="14" l="1"/>
  <c r="C90" i="14" s="1"/>
  <c r="Q64" i="14"/>
  <c r="H39" i="14"/>
  <c r="C66" i="14" s="1"/>
  <c r="Q40" i="14"/>
  <c r="Q65" i="14" l="1"/>
  <c r="H64" i="14"/>
  <c r="C91" i="14" s="1"/>
  <c r="Q41" i="14"/>
  <c r="H40" i="14"/>
  <c r="C67" i="14" s="1"/>
  <c r="Q66" i="14" l="1"/>
  <c r="H65" i="14"/>
  <c r="C92" i="14" s="1"/>
  <c r="H41" i="14"/>
  <c r="C68" i="14" s="1"/>
  <c r="Q42" i="14"/>
  <c r="Q67" i="14" l="1"/>
  <c r="H66" i="14"/>
  <c r="C93" i="14" s="1"/>
  <c r="Q43" i="14"/>
  <c r="H42" i="14"/>
  <c r="C69" i="14" s="1"/>
  <c r="Q68" i="14" l="1"/>
  <c r="H67" i="14"/>
  <c r="C94" i="14" s="1"/>
  <c r="H43" i="14"/>
  <c r="C70" i="14" s="1"/>
  <c r="Q44" i="14"/>
  <c r="H68" i="14" l="1"/>
  <c r="C95" i="14" s="1"/>
  <c r="Q69" i="14"/>
  <c r="Q45" i="14"/>
  <c r="H44" i="14"/>
  <c r="C71" i="14" s="1"/>
  <c r="Q70" i="14" l="1"/>
  <c r="H69" i="14"/>
  <c r="C96" i="14" s="1"/>
  <c r="H45" i="14"/>
  <c r="C72" i="14" s="1"/>
  <c r="Q46" i="14"/>
  <c r="H70" i="14" l="1"/>
  <c r="C97" i="14" s="1"/>
  <c r="Q71" i="14"/>
  <c r="H46" i="14"/>
  <c r="C73" i="14" s="1"/>
  <c r="Q47" i="14"/>
  <c r="H71" i="14" l="1"/>
  <c r="C98" i="14" s="1"/>
  <c r="Q72" i="14"/>
  <c r="H47" i="14"/>
  <c r="C74" i="14" s="1"/>
  <c r="Q48" i="14"/>
  <c r="Q73" i="14" l="1"/>
  <c r="H72" i="14"/>
  <c r="C99" i="14" s="1"/>
  <c r="Q49" i="14"/>
  <c r="H48" i="14"/>
  <c r="C75" i="14" s="1"/>
  <c r="Q74" i="14" l="1"/>
  <c r="H73" i="14"/>
  <c r="C100" i="14" s="1"/>
  <c r="H49" i="14"/>
  <c r="C76" i="14" s="1"/>
  <c r="Q50" i="14"/>
  <c r="Q75" i="14" l="1"/>
  <c r="H74" i="14"/>
  <c r="C101" i="14" s="1"/>
  <c r="Q51" i="14"/>
  <c r="H51" i="14" s="1"/>
  <c r="C78" i="14" s="1"/>
  <c r="H50" i="14"/>
  <c r="C77" i="14" s="1"/>
  <c r="Q76" i="14" l="1"/>
  <c r="H76" i="14" s="1"/>
  <c r="C103" i="14" s="1"/>
  <c r="H75" i="14"/>
  <c r="C102" i="14" s="1"/>
  <c r="C86" i="11"/>
  <c r="C85" i="11"/>
  <c r="F87" i="13"/>
  <c r="A68" i="13" s="1"/>
  <c r="F86" i="13"/>
  <c r="A67" i="13" s="1"/>
  <c r="F85" i="13"/>
  <c r="A66" i="13" s="1"/>
  <c r="F84" i="13"/>
  <c r="A65" i="13" s="1"/>
  <c r="F83" i="13"/>
  <c r="A64" i="13" s="1"/>
  <c r="F82" i="13"/>
  <c r="A63" i="13" s="1"/>
  <c r="F81" i="13"/>
  <c r="A62" i="13" s="1"/>
  <c r="F80" i="13"/>
  <c r="A61" i="13" s="1"/>
  <c r="F79" i="13"/>
  <c r="A60" i="13" s="1"/>
  <c r="F78" i="13"/>
  <c r="A59" i="13" s="1"/>
  <c r="F77" i="13"/>
  <c r="A58" i="13" s="1"/>
  <c r="F76" i="13"/>
  <c r="A57" i="13" s="1"/>
  <c r="F75" i="13"/>
  <c r="A56" i="13" s="1"/>
  <c r="F74" i="13"/>
  <c r="A55" i="13" s="1"/>
  <c r="F73" i="13"/>
  <c r="A54" i="13" s="1"/>
  <c r="F72" i="13"/>
  <c r="A53" i="13" s="1"/>
  <c r="Q71" i="13"/>
  <c r="Q70" i="13"/>
  <c r="H70" i="13" s="1"/>
  <c r="C52" i="13" s="1"/>
  <c r="F70" i="13"/>
  <c r="A52" i="13" s="1"/>
  <c r="Q54" i="13"/>
  <c r="Q55" i="13" s="1"/>
  <c r="A46" i="13"/>
  <c r="A42" i="13"/>
  <c r="H36" i="13"/>
  <c r="C48" i="13" s="1"/>
  <c r="F36" i="13"/>
  <c r="A48" i="13" s="1"/>
  <c r="H35" i="13"/>
  <c r="C47" i="13" s="1"/>
  <c r="F35" i="13"/>
  <c r="A47" i="13" s="1"/>
  <c r="H34" i="13"/>
  <c r="C45" i="13" s="1"/>
  <c r="F34" i="13"/>
  <c r="A45" i="13" s="1"/>
  <c r="H33" i="13"/>
  <c r="C43" i="13" s="1"/>
  <c r="F33" i="13"/>
  <c r="A43" i="13" s="1"/>
  <c r="H31" i="13"/>
  <c r="C41" i="13" s="1"/>
  <c r="F31" i="13"/>
  <c r="A41" i="13" s="1"/>
  <c r="H29" i="13"/>
  <c r="C51" i="13" s="1"/>
  <c r="F29" i="13"/>
  <c r="A51" i="13" s="1"/>
  <c r="H28" i="13"/>
  <c r="C50" i="13" s="1"/>
  <c r="F28" i="13"/>
  <c r="A50" i="13" s="1"/>
  <c r="H27" i="13"/>
  <c r="C49" i="13" s="1"/>
  <c r="F27" i="13"/>
  <c r="A49" i="13" s="1"/>
  <c r="H26" i="13"/>
  <c r="F26" i="13"/>
  <c r="H24" i="13"/>
  <c r="C40" i="13" s="1"/>
  <c r="F24" i="13"/>
  <c r="A40" i="13" s="1"/>
  <c r="H23" i="13"/>
  <c r="C39" i="13" s="1"/>
  <c r="F23" i="13"/>
  <c r="A39" i="13" s="1"/>
  <c r="H22" i="13"/>
  <c r="C44" i="13" s="1"/>
  <c r="F22" i="13"/>
  <c r="A44" i="13" s="1"/>
  <c r="H21" i="13"/>
  <c r="C46" i="13" s="1"/>
  <c r="F21" i="13"/>
  <c r="H19" i="13"/>
  <c r="F19" i="13"/>
  <c r="Q17" i="13"/>
  <c r="H17" i="13" s="1"/>
  <c r="C42" i="13" s="1"/>
  <c r="F17" i="13"/>
  <c r="H16" i="13"/>
  <c r="C34" i="13" s="1"/>
  <c r="F16" i="13"/>
  <c r="A34" i="13" s="1"/>
  <c r="H12" i="13"/>
  <c r="C38" i="13" s="1"/>
  <c r="F12" i="13"/>
  <c r="A38" i="13" s="1"/>
  <c r="H10" i="13"/>
  <c r="C37" i="13" s="1"/>
  <c r="F10" i="13"/>
  <c r="A37" i="13" s="1"/>
  <c r="H9" i="13"/>
  <c r="C35" i="13" s="1"/>
  <c r="F9" i="13"/>
  <c r="A35" i="13" s="1"/>
  <c r="H6" i="13"/>
  <c r="C36" i="13" s="1"/>
  <c r="F6" i="13"/>
  <c r="A36" i="13" s="1"/>
  <c r="Q17" i="12"/>
  <c r="H17" i="12" s="1"/>
  <c r="C46" i="12" s="1"/>
  <c r="F87" i="12"/>
  <c r="A110" i="12" s="1"/>
  <c r="F86" i="12"/>
  <c r="A109" i="12" s="1"/>
  <c r="F85" i="12"/>
  <c r="A108" i="12" s="1"/>
  <c r="F84" i="12"/>
  <c r="A107" i="12" s="1"/>
  <c r="F83" i="12"/>
  <c r="A106" i="12" s="1"/>
  <c r="F82" i="12"/>
  <c r="A105" i="12" s="1"/>
  <c r="F81" i="12"/>
  <c r="A104" i="12" s="1"/>
  <c r="F80" i="12"/>
  <c r="A103" i="12" s="1"/>
  <c r="F79" i="12"/>
  <c r="A102" i="12" s="1"/>
  <c r="F78" i="12"/>
  <c r="A101" i="12" s="1"/>
  <c r="F77" i="12"/>
  <c r="A100" i="12" s="1"/>
  <c r="F76" i="12"/>
  <c r="A99" i="12" s="1"/>
  <c r="F75" i="12"/>
  <c r="A98" i="12" s="1"/>
  <c r="F74" i="12"/>
  <c r="A97" i="12" s="1"/>
  <c r="F73" i="12"/>
  <c r="A96" i="12" s="1"/>
  <c r="F72" i="12"/>
  <c r="A95" i="12" s="1"/>
  <c r="Q71" i="12"/>
  <c r="H71" i="12" s="1"/>
  <c r="C94" i="12" s="1"/>
  <c r="F71" i="12"/>
  <c r="A94" i="12" s="1"/>
  <c r="Q70" i="12"/>
  <c r="H70" i="12" s="1"/>
  <c r="C93" i="12" s="1"/>
  <c r="F70" i="12"/>
  <c r="A93" i="12" s="1"/>
  <c r="F69" i="12"/>
  <c r="A76" i="12" s="1"/>
  <c r="F68" i="12"/>
  <c r="A75" i="12" s="1"/>
  <c r="F67" i="12"/>
  <c r="A74" i="12" s="1"/>
  <c r="F66" i="12"/>
  <c r="A73" i="12" s="1"/>
  <c r="F65" i="12"/>
  <c r="A72" i="12" s="1"/>
  <c r="F64" i="12"/>
  <c r="A71" i="12" s="1"/>
  <c r="F63" i="12"/>
  <c r="A70" i="12"/>
  <c r="F62" i="12"/>
  <c r="A69" i="12" s="1"/>
  <c r="F61" i="12"/>
  <c r="A68" i="12" s="1"/>
  <c r="F60" i="12"/>
  <c r="A67" i="12" s="1"/>
  <c r="F59" i="12"/>
  <c r="A66" i="12" s="1"/>
  <c r="F58" i="12"/>
  <c r="A65" i="12" s="1"/>
  <c r="F57" i="12"/>
  <c r="A64" i="12" s="1"/>
  <c r="F56" i="12"/>
  <c r="A63" i="12" s="1"/>
  <c r="F55" i="12"/>
  <c r="A62" i="12"/>
  <c r="Q54" i="12"/>
  <c r="Q55" i="12" s="1"/>
  <c r="H55" i="12" s="1"/>
  <c r="C62" i="12" s="1"/>
  <c r="F54" i="12"/>
  <c r="A61" i="12" s="1"/>
  <c r="H53" i="12"/>
  <c r="C92" i="12" s="1"/>
  <c r="F53" i="12"/>
  <c r="A92" i="12" s="1"/>
  <c r="H52" i="12"/>
  <c r="C90" i="12" s="1"/>
  <c r="F52" i="12"/>
  <c r="A90" i="12" s="1"/>
  <c r="H51" i="12"/>
  <c r="C88" i="12" s="1"/>
  <c r="F51" i="12"/>
  <c r="A88" i="12" s="1"/>
  <c r="H50" i="12"/>
  <c r="C86" i="12" s="1"/>
  <c r="F50" i="12"/>
  <c r="A86" i="12" s="1"/>
  <c r="H49" i="12"/>
  <c r="C84" i="12" s="1"/>
  <c r="F49" i="12"/>
  <c r="A84" i="12" s="1"/>
  <c r="H48" i="12"/>
  <c r="C82" i="12" s="1"/>
  <c r="F48" i="12"/>
  <c r="A82" i="12" s="1"/>
  <c r="H47" i="12"/>
  <c r="C80" i="12" s="1"/>
  <c r="F47" i="12"/>
  <c r="A80" i="12" s="1"/>
  <c r="H46" i="12"/>
  <c r="C78" i="12" s="1"/>
  <c r="F46" i="12"/>
  <c r="A78" i="12" s="1"/>
  <c r="H45" i="12"/>
  <c r="C91" i="12" s="1"/>
  <c r="F45" i="12"/>
  <c r="A91" i="12" s="1"/>
  <c r="H44" i="12"/>
  <c r="C89" i="12" s="1"/>
  <c r="F44" i="12"/>
  <c r="A89" i="12" s="1"/>
  <c r="H43" i="12"/>
  <c r="C87" i="12" s="1"/>
  <c r="F43" i="12"/>
  <c r="A87" i="12" s="1"/>
  <c r="C50" i="12"/>
  <c r="H42" i="12"/>
  <c r="C85" i="12" s="1"/>
  <c r="F42" i="12"/>
  <c r="A85" i="12" s="1"/>
  <c r="H41" i="12"/>
  <c r="C83" i="12" s="1"/>
  <c r="F41" i="12"/>
  <c r="A83" i="12" s="1"/>
  <c r="H40" i="12"/>
  <c r="C81" i="12" s="1"/>
  <c r="F40" i="12"/>
  <c r="A81" i="12" s="1"/>
  <c r="H39" i="12"/>
  <c r="C79" i="12" s="1"/>
  <c r="F39" i="12"/>
  <c r="A79" i="12" s="1"/>
  <c r="H38" i="12"/>
  <c r="C77" i="12" s="1"/>
  <c r="F38" i="12"/>
  <c r="A77" i="12" s="1"/>
  <c r="H37" i="12"/>
  <c r="C55" i="12" s="1"/>
  <c r="F37" i="12"/>
  <c r="A55" i="12" s="1"/>
  <c r="H36" i="12"/>
  <c r="C54" i="12" s="1"/>
  <c r="F36" i="12"/>
  <c r="A54" i="12" s="1"/>
  <c r="H35" i="12"/>
  <c r="C53" i="12" s="1"/>
  <c r="F35" i="12"/>
  <c r="A53" i="12" s="1"/>
  <c r="C42" i="12"/>
  <c r="H34" i="12"/>
  <c r="C51" i="12" s="1"/>
  <c r="F34" i="12"/>
  <c r="A51" i="12" s="1"/>
  <c r="H33" i="12"/>
  <c r="C49" i="12" s="1"/>
  <c r="F33" i="12"/>
  <c r="A49" i="12" s="1"/>
  <c r="H32" i="12"/>
  <c r="F32" i="12"/>
  <c r="H31" i="12"/>
  <c r="C45" i="12" s="1"/>
  <c r="F31" i="12"/>
  <c r="A45" i="12" s="1"/>
  <c r="H30" i="12"/>
  <c r="C60" i="12" s="1"/>
  <c r="F30" i="12"/>
  <c r="A60" i="12" s="1"/>
  <c r="H29" i="12"/>
  <c r="C58" i="12" s="1"/>
  <c r="F29" i="12"/>
  <c r="A58" i="12" s="1"/>
  <c r="H28" i="12"/>
  <c r="C57" i="12" s="1"/>
  <c r="F28" i="12"/>
  <c r="A57" i="12" s="1"/>
  <c r="H27" i="12"/>
  <c r="C56" i="12" s="1"/>
  <c r="F27" i="12"/>
  <c r="A56" i="12" s="1"/>
  <c r="H26" i="12"/>
  <c r="F26" i="12"/>
  <c r="H25" i="12"/>
  <c r="C48" i="12" s="1"/>
  <c r="F25" i="12"/>
  <c r="A48" i="12" s="1"/>
  <c r="H24" i="12"/>
  <c r="C44" i="12" s="1"/>
  <c r="F24" i="12"/>
  <c r="A44" i="12" s="1"/>
  <c r="H23" i="12"/>
  <c r="C43" i="12" s="1"/>
  <c r="F23" i="12"/>
  <c r="A43" i="12" s="1"/>
  <c r="H22" i="12"/>
  <c r="F22" i="12"/>
  <c r="A50" i="12" s="1"/>
  <c r="H21" i="12"/>
  <c r="C52" i="12" s="1"/>
  <c r="F21" i="12"/>
  <c r="A52" i="12" s="1"/>
  <c r="H20" i="12"/>
  <c r="C59" i="12" s="1"/>
  <c r="F20" i="12"/>
  <c r="A59" i="12" s="1"/>
  <c r="H19" i="12"/>
  <c r="F19" i="12"/>
  <c r="H18" i="12"/>
  <c r="C47" i="12" s="1"/>
  <c r="F18" i="12"/>
  <c r="A47" i="12" s="1"/>
  <c r="F17" i="12"/>
  <c r="A46" i="12" s="1"/>
  <c r="H16" i="12"/>
  <c r="C33" i="12" s="1"/>
  <c r="F16" i="12"/>
  <c r="A33" i="12" s="1"/>
  <c r="H15" i="12"/>
  <c r="C35" i="12" s="1"/>
  <c r="F15" i="12"/>
  <c r="A35" i="12" s="1"/>
  <c r="H14" i="12"/>
  <c r="F14" i="12"/>
  <c r="H13" i="12"/>
  <c r="F13" i="12"/>
  <c r="H12" i="12"/>
  <c r="F12" i="12"/>
  <c r="A42" i="12" s="1"/>
  <c r="H11" i="12"/>
  <c r="C40" i="12" s="1"/>
  <c r="F11" i="12"/>
  <c r="A40" i="12" s="1"/>
  <c r="H10" i="12"/>
  <c r="C39" i="12" s="1"/>
  <c r="F10" i="12"/>
  <c r="A39" i="12" s="1"/>
  <c r="H9" i="12"/>
  <c r="C37" i="12" s="1"/>
  <c r="F9" i="12"/>
  <c r="A37" i="12" s="1"/>
  <c r="H8" i="12"/>
  <c r="C34" i="12" s="1"/>
  <c r="F8" i="12"/>
  <c r="A34" i="12" s="1"/>
  <c r="H7" i="12"/>
  <c r="C41" i="12" s="1"/>
  <c r="F7" i="12"/>
  <c r="A41" i="12" s="1"/>
  <c r="H6" i="12"/>
  <c r="C38" i="12" s="1"/>
  <c r="F6" i="12"/>
  <c r="A38" i="12" s="1"/>
  <c r="H5" i="12"/>
  <c r="C36" i="12" s="1"/>
  <c r="F5" i="12"/>
  <c r="A36" i="12" s="1"/>
  <c r="C48" i="10"/>
  <c r="A48" i="10"/>
  <c r="H37" i="10"/>
  <c r="F37" i="10"/>
  <c r="F86" i="11"/>
  <c r="A104" i="11" s="1"/>
  <c r="F85" i="11"/>
  <c r="A103" i="11" s="1"/>
  <c r="F84" i="11"/>
  <c r="A102" i="11" s="1"/>
  <c r="F83" i="11"/>
  <c r="A101" i="11" s="1"/>
  <c r="F82" i="11"/>
  <c r="A100" i="11" s="1"/>
  <c r="F81" i="11"/>
  <c r="A99" i="11" s="1"/>
  <c r="F80" i="11"/>
  <c r="A98" i="11" s="1"/>
  <c r="F79" i="11"/>
  <c r="A97" i="11" s="1"/>
  <c r="F78" i="11"/>
  <c r="A96" i="11" s="1"/>
  <c r="F77" i="11"/>
  <c r="A95" i="11" s="1"/>
  <c r="F76" i="11"/>
  <c r="A94" i="11" s="1"/>
  <c r="F75" i="11"/>
  <c r="A93" i="11" s="1"/>
  <c r="F74" i="11"/>
  <c r="A92" i="11" s="1"/>
  <c r="F73" i="11"/>
  <c r="A91" i="11" s="1"/>
  <c r="F72" i="11"/>
  <c r="A90" i="11" s="1"/>
  <c r="C72" i="11"/>
  <c r="F71" i="11"/>
  <c r="A89" i="11" s="1"/>
  <c r="Q70" i="11"/>
  <c r="Q71" i="11" s="1"/>
  <c r="F70" i="11"/>
  <c r="A88" i="11" s="1"/>
  <c r="Q69" i="11"/>
  <c r="H69" i="11" s="1"/>
  <c r="C87" i="11" s="1"/>
  <c r="F69" i="11"/>
  <c r="A87" i="11" s="1"/>
  <c r="F68" i="11"/>
  <c r="A68" i="11" s="1"/>
  <c r="F67" i="11"/>
  <c r="A67" i="11" s="1"/>
  <c r="F66" i="11"/>
  <c r="A66" i="11" s="1"/>
  <c r="F65" i="11"/>
  <c r="A65" i="11" s="1"/>
  <c r="F64" i="11"/>
  <c r="A64" i="11" s="1"/>
  <c r="F63" i="11"/>
  <c r="A63" i="11" s="1"/>
  <c r="F62" i="11"/>
  <c r="A62" i="11" s="1"/>
  <c r="F61" i="11"/>
  <c r="A61" i="11" s="1"/>
  <c r="F60" i="11"/>
  <c r="A60" i="11" s="1"/>
  <c r="F59" i="11"/>
  <c r="A59" i="11" s="1"/>
  <c r="F58" i="11"/>
  <c r="A58" i="11" s="1"/>
  <c r="F57" i="11"/>
  <c r="A57" i="11" s="1"/>
  <c r="F56" i="11"/>
  <c r="A56" i="11" s="1"/>
  <c r="F55" i="11"/>
  <c r="A55" i="11" s="1"/>
  <c r="F54" i="11"/>
  <c r="A54" i="11" s="1"/>
  <c r="Q53" i="11"/>
  <c r="Q54" i="11" s="1"/>
  <c r="F53" i="11"/>
  <c r="A53" i="11" s="1"/>
  <c r="H52" i="11"/>
  <c r="C84" i="11" s="1"/>
  <c r="F52" i="11"/>
  <c r="A84" i="11" s="1"/>
  <c r="H51" i="11"/>
  <c r="C82" i="11" s="1"/>
  <c r="F51" i="11"/>
  <c r="A82" i="11" s="1"/>
  <c r="H50" i="11"/>
  <c r="C80" i="11" s="1"/>
  <c r="F50" i="11"/>
  <c r="A80" i="11" s="1"/>
  <c r="H49" i="11"/>
  <c r="C78" i="11" s="1"/>
  <c r="F49" i="11"/>
  <c r="A78" i="11" s="1"/>
  <c r="H48" i="11"/>
  <c r="C76" i="11" s="1"/>
  <c r="F48" i="11"/>
  <c r="A76" i="11" s="1"/>
  <c r="H47" i="11"/>
  <c r="C74" i="11" s="1"/>
  <c r="F47" i="11"/>
  <c r="A74" i="11" s="1"/>
  <c r="H46" i="11"/>
  <c r="F46" i="11"/>
  <c r="A72" i="11" s="1"/>
  <c r="H45" i="11"/>
  <c r="C70" i="11" s="1"/>
  <c r="F45" i="11"/>
  <c r="A70" i="11" s="1"/>
  <c r="H44" i="11"/>
  <c r="C83" i="11" s="1"/>
  <c r="F44" i="11"/>
  <c r="A83" i="11" s="1"/>
  <c r="H43" i="11"/>
  <c r="C81" i="11" s="1"/>
  <c r="F43" i="11"/>
  <c r="A81" i="11" s="1"/>
  <c r="H42" i="11"/>
  <c r="C79" i="11" s="1"/>
  <c r="F42" i="11"/>
  <c r="A79" i="11" s="1"/>
  <c r="H41" i="11"/>
  <c r="C77" i="11" s="1"/>
  <c r="F41" i="11"/>
  <c r="A77" i="11" s="1"/>
  <c r="H40" i="11"/>
  <c r="C75" i="11" s="1"/>
  <c r="F40" i="11"/>
  <c r="A75" i="11" s="1"/>
  <c r="H39" i="11"/>
  <c r="C73" i="11" s="1"/>
  <c r="F39" i="11"/>
  <c r="A73" i="11" s="1"/>
  <c r="H38" i="11"/>
  <c r="C71" i="11" s="1"/>
  <c r="F38" i="11"/>
  <c r="A71" i="11" s="1"/>
  <c r="H37" i="11"/>
  <c r="C69" i="11" s="1"/>
  <c r="F37" i="11"/>
  <c r="A69" i="11" s="1"/>
  <c r="H36" i="11"/>
  <c r="C47" i="11" s="1"/>
  <c r="F36" i="11"/>
  <c r="A47" i="11" s="1"/>
  <c r="H35" i="11"/>
  <c r="C46" i="11" s="1"/>
  <c r="F35" i="11"/>
  <c r="A46" i="11" s="1"/>
  <c r="H34" i="11"/>
  <c r="C44" i="11" s="1"/>
  <c r="F34" i="11"/>
  <c r="A44" i="11" s="1"/>
  <c r="H33" i="11"/>
  <c r="C42" i="11" s="1"/>
  <c r="F33" i="11"/>
  <c r="A42" i="11" s="1"/>
  <c r="H32" i="11"/>
  <c r="F32" i="11"/>
  <c r="H31" i="11"/>
  <c r="C38" i="11" s="1"/>
  <c r="F31" i="11"/>
  <c r="A38" i="11" s="1"/>
  <c r="H30" i="11"/>
  <c r="C52" i="11" s="1"/>
  <c r="F30" i="11"/>
  <c r="A52" i="11" s="1"/>
  <c r="H29" i="11"/>
  <c r="C50" i="11" s="1"/>
  <c r="F29" i="11"/>
  <c r="A50" i="11" s="1"/>
  <c r="H28" i="11"/>
  <c r="C49" i="11" s="1"/>
  <c r="F28" i="11"/>
  <c r="A49" i="11" s="1"/>
  <c r="H27" i="11"/>
  <c r="C48" i="11" s="1"/>
  <c r="F27" i="11"/>
  <c r="A48" i="11" s="1"/>
  <c r="H26" i="11"/>
  <c r="F26" i="11"/>
  <c r="A85" i="11" s="1"/>
  <c r="H25" i="11"/>
  <c r="C41" i="11" s="1"/>
  <c r="F25" i="11"/>
  <c r="A41" i="11" s="1"/>
  <c r="H24" i="11"/>
  <c r="C37" i="11" s="1"/>
  <c r="F24" i="11"/>
  <c r="A37" i="11" s="1"/>
  <c r="H23" i="11"/>
  <c r="C36" i="11" s="1"/>
  <c r="F23" i="11"/>
  <c r="A36" i="11" s="1"/>
  <c r="H22" i="11"/>
  <c r="C43" i="11" s="1"/>
  <c r="F22" i="11"/>
  <c r="A43" i="11" s="1"/>
  <c r="H21" i="11"/>
  <c r="C45" i="11" s="1"/>
  <c r="F21" i="11"/>
  <c r="A45" i="11" s="1"/>
  <c r="H20" i="11"/>
  <c r="C51" i="11" s="1"/>
  <c r="F20" i="11"/>
  <c r="A51" i="11" s="1"/>
  <c r="H19" i="11"/>
  <c r="F19" i="11"/>
  <c r="A86" i="11" s="1"/>
  <c r="H18" i="11"/>
  <c r="C40" i="11" s="1"/>
  <c r="F18" i="11"/>
  <c r="A40" i="11" s="1"/>
  <c r="Q17" i="11"/>
  <c r="H17" i="11" s="1"/>
  <c r="C39" i="11" s="1"/>
  <c r="F17" i="11"/>
  <c r="A39" i="11" s="1"/>
  <c r="H16" i="11"/>
  <c r="C26" i="11" s="1"/>
  <c r="F16" i="11"/>
  <c r="A26" i="11" s="1"/>
  <c r="H15" i="11"/>
  <c r="C28" i="11" s="1"/>
  <c r="F15" i="11"/>
  <c r="A28" i="11" s="1"/>
  <c r="H14" i="11"/>
  <c r="F14" i="11"/>
  <c r="H13" i="11"/>
  <c r="F13" i="11"/>
  <c r="H12" i="11"/>
  <c r="C35" i="11" s="1"/>
  <c r="F12" i="11"/>
  <c r="A35" i="11" s="1"/>
  <c r="H11" i="11"/>
  <c r="C33" i="11" s="1"/>
  <c r="F11" i="11"/>
  <c r="A33" i="11" s="1"/>
  <c r="H10" i="11"/>
  <c r="C32" i="11" s="1"/>
  <c r="F10" i="11"/>
  <c r="A32" i="11" s="1"/>
  <c r="H9" i="11"/>
  <c r="C30" i="11" s="1"/>
  <c r="F9" i="11"/>
  <c r="A30" i="11" s="1"/>
  <c r="H8" i="11"/>
  <c r="C27" i="11" s="1"/>
  <c r="F8" i="11"/>
  <c r="A27" i="11" s="1"/>
  <c r="H7" i="11"/>
  <c r="C34" i="11" s="1"/>
  <c r="F7" i="11"/>
  <c r="A34" i="11" s="1"/>
  <c r="H6" i="11"/>
  <c r="C31" i="11" s="1"/>
  <c r="F6" i="11"/>
  <c r="A31" i="11" s="1"/>
  <c r="H5" i="11"/>
  <c r="C29" i="11" s="1"/>
  <c r="F5" i="11"/>
  <c r="A29" i="11" s="1"/>
  <c r="A97" i="10"/>
  <c r="A98" i="10"/>
  <c r="A101" i="10"/>
  <c r="A88" i="10"/>
  <c r="C87" i="10"/>
  <c r="A86" i="10"/>
  <c r="F16" i="10"/>
  <c r="F6" i="10"/>
  <c r="A31" i="10" s="1"/>
  <c r="F7" i="10"/>
  <c r="A34" i="10" s="1"/>
  <c r="F8" i="10"/>
  <c r="A27" i="10" s="1"/>
  <c r="F9" i="10"/>
  <c r="A30" i="10" s="1"/>
  <c r="F10" i="10"/>
  <c r="A32" i="10" s="1"/>
  <c r="F11" i="10"/>
  <c r="A33" i="10" s="1"/>
  <c r="F12" i="10"/>
  <c r="A35" i="10" s="1"/>
  <c r="F13" i="10"/>
  <c r="F14" i="10"/>
  <c r="F15" i="10"/>
  <c r="A28" i="10" s="1"/>
  <c r="A26" i="10"/>
  <c r="F17" i="10"/>
  <c r="A39" i="10" s="1"/>
  <c r="F18" i="10"/>
  <c r="A40" i="10" s="1"/>
  <c r="F19" i="10"/>
  <c r="F20" i="10"/>
  <c r="A52" i="10" s="1"/>
  <c r="F21" i="10"/>
  <c r="A45" i="10" s="1"/>
  <c r="F22" i="10"/>
  <c r="A43" i="10" s="1"/>
  <c r="F23" i="10"/>
  <c r="A36" i="10" s="1"/>
  <c r="F24" i="10"/>
  <c r="A37" i="10" s="1"/>
  <c r="F25" i="10"/>
  <c r="A41" i="10" s="1"/>
  <c r="F26" i="10"/>
  <c r="F27" i="10"/>
  <c r="A49" i="10" s="1"/>
  <c r="F28" i="10"/>
  <c r="A50" i="10" s="1"/>
  <c r="F29" i="10"/>
  <c r="A51" i="10" s="1"/>
  <c r="F30" i="10"/>
  <c r="A53" i="10" s="1"/>
  <c r="F31" i="10"/>
  <c r="A38" i="10" s="1"/>
  <c r="F32" i="10"/>
  <c r="F33" i="10"/>
  <c r="A42" i="10" s="1"/>
  <c r="F34" i="10"/>
  <c r="A44" i="10" s="1"/>
  <c r="F35" i="10"/>
  <c r="A46" i="10" s="1"/>
  <c r="F36" i="10"/>
  <c r="A47" i="10" s="1"/>
  <c r="F38" i="10"/>
  <c r="A70" i="10" s="1"/>
  <c r="F39" i="10"/>
  <c r="A72" i="10" s="1"/>
  <c r="F40" i="10"/>
  <c r="A74" i="10" s="1"/>
  <c r="F41" i="10"/>
  <c r="A76" i="10" s="1"/>
  <c r="F42" i="10"/>
  <c r="A78" i="10" s="1"/>
  <c r="F43" i="10"/>
  <c r="A80" i="10" s="1"/>
  <c r="F44" i="10"/>
  <c r="A82" i="10" s="1"/>
  <c r="F45" i="10"/>
  <c r="A84" i="10" s="1"/>
  <c r="F46" i="10"/>
  <c r="A71" i="10" s="1"/>
  <c r="F47" i="10"/>
  <c r="A73" i="10" s="1"/>
  <c r="F48" i="10"/>
  <c r="A75" i="10" s="1"/>
  <c r="F49" i="10"/>
  <c r="A77" i="10" s="1"/>
  <c r="F50" i="10"/>
  <c r="A79" i="10" s="1"/>
  <c r="F51" i="10"/>
  <c r="A81" i="10" s="1"/>
  <c r="F52" i="10"/>
  <c r="A83" i="10" s="1"/>
  <c r="F53" i="10"/>
  <c r="A85" i="10" s="1"/>
  <c r="F54" i="10"/>
  <c r="A54" i="10" s="1"/>
  <c r="F55" i="10"/>
  <c r="A55" i="10" s="1"/>
  <c r="F56" i="10"/>
  <c r="A56" i="10" s="1"/>
  <c r="F57" i="10"/>
  <c r="A57" i="10" s="1"/>
  <c r="F58" i="10"/>
  <c r="A58" i="10" s="1"/>
  <c r="F59" i="10"/>
  <c r="A59" i="10" s="1"/>
  <c r="F60" i="10"/>
  <c r="A60" i="10" s="1"/>
  <c r="F61" i="10"/>
  <c r="A61" i="10" s="1"/>
  <c r="F62" i="10"/>
  <c r="A62" i="10" s="1"/>
  <c r="F63" i="10"/>
  <c r="A63" i="10" s="1"/>
  <c r="F64" i="10"/>
  <c r="A64" i="10" s="1"/>
  <c r="F65" i="10"/>
  <c r="A65" i="10" s="1"/>
  <c r="F66" i="10"/>
  <c r="A66" i="10" s="1"/>
  <c r="F67" i="10"/>
  <c r="A67" i="10" s="1"/>
  <c r="F68" i="10"/>
  <c r="A68" i="10" s="1"/>
  <c r="F69" i="10"/>
  <c r="A69" i="10" s="1"/>
  <c r="F70" i="10"/>
  <c r="F71" i="10"/>
  <c r="A87" i="10" s="1"/>
  <c r="F72" i="10"/>
  <c r="F73" i="10"/>
  <c r="A89" i="10" s="1"/>
  <c r="F74" i="10"/>
  <c r="A90" i="10" s="1"/>
  <c r="F75" i="10"/>
  <c r="A91" i="10" s="1"/>
  <c r="F76" i="10"/>
  <c r="A92" i="10" s="1"/>
  <c r="F77" i="10"/>
  <c r="A93" i="10" s="1"/>
  <c r="F87" i="10"/>
  <c r="A103" i="10" s="1"/>
  <c r="F86" i="10"/>
  <c r="A102" i="10" s="1"/>
  <c r="F85" i="10"/>
  <c r="F84" i="10"/>
  <c r="A100" i="10" s="1"/>
  <c r="F83" i="10"/>
  <c r="A99" i="10" s="1"/>
  <c r="F82" i="10"/>
  <c r="F81" i="10"/>
  <c r="F80" i="10"/>
  <c r="A96" i="10" s="1"/>
  <c r="F79" i="10"/>
  <c r="A95" i="10" s="1"/>
  <c r="F78" i="10"/>
  <c r="A94" i="10" s="1"/>
  <c r="Q71" i="10"/>
  <c r="H71" i="10" s="1"/>
  <c r="Q70" i="10"/>
  <c r="H70" i="10" s="1"/>
  <c r="C86" i="10" s="1"/>
  <c r="Q54" i="10"/>
  <c r="Q55" i="10" s="1"/>
  <c r="H53" i="10"/>
  <c r="C85" i="10" s="1"/>
  <c r="H52" i="10"/>
  <c r="C83" i="10" s="1"/>
  <c r="H51" i="10"/>
  <c r="C81" i="10" s="1"/>
  <c r="H50" i="10"/>
  <c r="C79" i="10" s="1"/>
  <c r="H49" i="10"/>
  <c r="C77" i="10" s="1"/>
  <c r="H48" i="10"/>
  <c r="C75" i="10" s="1"/>
  <c r="H47" i="10"/>
  <c r="C73" i="10" s="1"/>
  <c r="H46" i="10"/>
  <c r="C71" i="10" s="1"/>
  <c r="H45" i="10"/>
  <c r="C84" i="10" s="1"/>
  <c r="H44" i="10"/>
  <c r="C82" i="10" s="1"/>
  <c r="H43" i="10"/>
  <c r="C80" i="10" s="1"/>
  <c r="H42" i="10"/>
  <c r="C78" i="10" s="1"/>
  <c r="H41" i="10"/>
  <c r="C76" i="10" s="1"/>
  <c r="H40" i="10"/>
  <c r="C74" i="10" s="1"/>
  <c r="H39" i="10"/>
  <c r="C72" i="10" s="1"/>
  <c r="H38" i="10"/>
  <c r="C70" i="10" s="1"/>
  <c r="H36" i="10"/>
  <c r="C47" i="10" s="1"/>
  <c r="H35" i="10"/>
  <c r="C46" i="10" s="1"/>
  <c r="H34" i="10"/>
  <c r="C44" i="10" s="1"/>
  <c r="H33" i="10"/>
  <c r="C42" i="10" s="1"/>
  <c r="H32" i="10"/>
  <c r="H31" i="10"/>
  <c r="C38" i="10" s="1"/>
  <c r="H30" i="10"/>
  <c r="C53" i="10" s="1"/>
  <c r="H29" i="10"/>
  <c r="C51" i="10" s="1"/>
  <c r="H28" i="10"/>
  <c r="C50" i="10" s="1"/>
  <c r="H27" i="10"/>
  <c r="C49" i="10" s="1"/>
  <c r="H26" i="10"/>
  <c r="H25" i="10"/>
  <c r="C41" i="10" s="1"/>
  <c r="H24" i="10"/>
  <c r="C37" i="10" s="1"/>
  <c r="H23" i="10"/>
  <c r="C36" i="10" s="1"/>
  <c r="H22" i="10"/>
  <c r="C43" i="10" s="1"/>
  <c r="H21" i="10"/>
  <c r="C45" i="10" s="1"/>
  <c r="H20" i="10"/>
  <c r="C52" i="10" s="1"/>
  <c r="H19" i="10"/>
  <c r="H18" i="10"/>
  <c r="C40" i="10" s="1"/>
  <c r="Q17" i="10"/>
  <c r="H17" i="10" s="1"/>
  <c r="C39" i="10" s="1"/>
  <c r="H16" i="10"/>
  <c r="C26" i="10" s="1"/>
  <c r="H15" i="10"/>
  <c r="C28" i="10" s="1"/>
  <c r="H14" i="10"/>
  <c r="H13" i="10"/>
  <c r="H12" i="10"/>
  <c r="C35" i="10" s="1"/>
  <c r="H11" i="10"/>
  <c r="C33" i="10" s="1"/>
  <c r="H10" i="10"/>
  <c r="C32" i="10" s="1"/>
  <c r="H9" i="10"/>
  <c r="C30" i="10" s="1"/>
  <c r="H8" i="10"/>
  <c r="C27" i="10" s="1"/>
  <c r="H7" i="10"/>
  <c r="C34" i="10" s="1"/>
  <c r="H6" i="10"/>
  <c r="C31" i="10" s="1"/>
  <c r="H5" i="10"/>
  <c r="C29" i="10" s="1"/>
  <c r="F5" i="10"/>
  <c r="A29" i="10" s="1"/>
  <c r="H160" i="8"/>
  <c r="H158" i="8"/>
  <c r="H156" i="8"/>
  <c r="H155" i="8"/>
  <c r="H154" i="8"/>
  <c r="H153" i="8"/>
  <c r="H146" i="8"/>
  <c r="H147" i="8"/>
  <c r="H148" i="8"/>
  <c r="H149" i="8"/>
  <c r="H150" i="8"/>
  <c r="H151" i="8"/>
  <c r="H152" i="8"/>
  <c r="H145" i="8"/>
  <c r="H141" i="8"/>
  <c r="H142" i="8"/>
  <c r="H143" i="8"/>
  <c r="H140" i="8"/>
  <c r="H138" i="8"/>
  <c r="H137" i="8"/>
  <c r="H136" i="8"/>
  <c r="H135" i="8"/>
  <c r="H128" i="8"/>
  <c r="H129" i="8"/>
  <c r="H130" i="8"/>
  <c r="H131" i="8"/>
  <c r="H132" i="8"/>
  <c r="H133" i="8"/>
  <c r="H134" i="8"/>
  <c r="H127" i="8"/>
  <c r="H123" i="8"/>
  <c r="H124" i="8"/>
  <c r="H125" i="8"/>
  <c r="H122" i="8"/>
  <c r="H120" i="8"/>
  <c r="H119" i="8"/>
  <c r="H118" i="8"/>
  <c r="H117" i="8"/>
  <c r="H110" i="8"/>
  <c r="H111" i="8"/>
  <c r="H112" i="8"/>
  <c r="H113" i="8"/>
  <c r="H114" i="8"/>
  <c r="H115" i="8"/>
  <c r="H116" i="8"/>
  <c r="H109" i="8"/>
  <c r="H105" i="8"/>
  <c r="H106" i="8"/>
  <c r="H107" i="8"/>
  <c r="H104" i="8"/>
  <c r="H102" i="8"/>
  <c r="H101" i="8"/>
  <c r="H100" i="8"/>
  <c r="H99" i="8"/>
  <c r="H92" i="8"/>
  <c r="H93" i="8"/>
  <c r="H94" i="8"/>
  <c r="H95" i="8"/>
  <c r="H96" i="8"/>
  <c r="H97" i="8"/>
  <c r="H98" i="8"/>
  <c r="H91" i="8"/>
  <c r="H87" i="8"/>
  <c r="H88" i="8"/>
  <c r="H89" i="8"/>
  <c r="H86" i="8"/>
  <c r="H78" i="8"/>
  <c r="H79" i="8"/>
  <c r="H80" i="8"/>
  <c r="H81" i="8"/>
  <c r="H82" i="8"/>
  <c r="H83" i="8"/>
  <c r="H84" i="8"/>
  <c r="H77" i="8"/>
  <c r="H70" i="8"/>
  <c r="H71" i="8"/>
  <c r="H72" i="8"/>
  <c r="H73" i="8"/>
  <c r="H74" i="8"/>
  <c r="H75" i="8"/>
  <c r="H76" i="8"/>
  <c r="H69" i="8"/>
  <c r="H62" i="8"/>
  <c r="H63" i="8"/>
  <c r="H64" i="8"/>
  <c r="H65" i="8"/>
  <c r="H66" i="8"/>
  <c r="H67" i="8"/>
  <c r="H68" i="8"/>
  <c r="H61" i="8"/>
  <c r="H54" i="8"/>
  <c r="H55" i="8"/>
  <c r="H56" i="8"/>
  <c r="H57" i="8"/>
  <c r="H58" i="8"/>
  <c r="H59" i="8"/>
  <c r="H60" i="8"/>
  <c r="H53" i="8"/>
  <c r="H52" i="8"/>
  <c r="H51" i="8"/>
  <c r="H50" i="8"/>
  <c r="H49" i="8"/>
  <c r="H44" i="8"/>
  <c r="H45" i="8"/>
  <c r="H46" i="8"/>
  <c r="H47" i="8"/>
  <c r="H48" i="8"/>
  <c r="H43" i="8"/>
  <c r="H35" i="8"/>
  <c r="H36" i="8"/>
  <c r="H37" i="8"/>
  <c r="H38" i="8"/>
  <c r="H39" i="8"/>
  <c r="H40" i="8"/>
  <c r="H41" i="8"/>
  <c r="H34" i="8"/>
  <c r="H27" i="8"/>
  <c r="H28" i="8"/>
  <c r="H29" i="8"/>
  <c r="H30" i="8"/>
  <c r="H31" i="8"/>
  <c r="H32" i="8"/>
  <c r="H33" i="8"/>
  <c r="H26" i="8"/>
  <c r="H19" i="8"/>
  <c r="H20" i="8"/>
  <c r="H21" i="8"/>
  <c r="H22" i="8"/>
  <c r="H23" i="8"/>
  <c r="H24" i="8"/>
  <c r="H25" i="8"/>
  <c r="H18" i="8"/>
  <c r="H11" i="8"/>
  <c r="H12" i="8"/>
  <c r="H13" i="8"/>
  <c r="H14" i="8"/>
  <c r="H15" i="8"/>
  <c r="H16" i="8"/>
  <c r="H17" i="8"/>
  <c r="H10" i="8"/>
  <c r="H9" i="8"/>
  <c r="H5" i="8"/>
  <c r="H6" i="8"/>
  <c r="H7" i="8"/>
  <c r="H8" i="8"/>
  <c r="H4"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6" i="8"/>
  <c r="F87" i="8"/>
  <c r="F88" i="8"/>
  <c r="F89" i="8"/>
  <c r="F91" i="8"/>
  <c r="F92" i="8"/>
  <c r="F93" i="8"/>
  <c r="F94" i="8"/>
  <c r="F95" i="8"/>
  <c r="F96" i="8"/>
  <c r="F97" i="8"/>
  <c r="F98" i="8"/>
  <c r="F99" i="8"/>
  <c r="F100" i="8"/>
  <c r="F101" i="8"/>
  <c r="F102" i="8"/>
  <c r="F104" i="8"/>
  <c r="F105" i="8"/>
  <c r="F106" i="8"/>
  <c r="F107" i="8"/>
  <c r="F109" i="8"/>
  <c r="F110" i="8"/>
  <c r="F111" i="8"/>
  <c r="F112" i="8"/>
  <c r="F113" i="8"/>
  <c r="F114" i="8"/>
  <c r="F115" i="8"/>
  <c r="F116" i="8"/>
  <c r="F117" i="8"/>
  <c r="F118" i="8"/>
  <c r="F119" i="8"/>
  <c r="F120" i="8"/>
  <c r="F122" i="8"/>
  <c r="F123" i="8"/>
  <c r="F124" i="8"/>
  <c r="F125" i="8"/>
  <c r="F127" i="8"/>
  <c r="F128" i="8"/>
  <c r="F129" i="8"/>
  <c r="F130" i="8"/>
  <c r="F131" i="8"/>
  <c r="F132" i="8"/>
  <c r="F133" i="8"/>
  <c r="F134" i="8"/>
  <c r="F135" i="8"/>
  <c r="F136" i="8"/>
  <c r="F137" i="8"/>
  <c r="F138" i="8"/>
  <c r="F140" i="8"/>
  <c r="F141" i="8"/>
  <c r="F142" i="8"/>
  <c r="F143" i="8"/>
  <c r="F145" i="8"/>
  <c r="F146" i="8"/>
  <c r="F147" i="8"/>
  <c r="F148" i="8"/>
  <c r="F149" i="8"/>
  <c r="F150" i="8"/>
  <c r="F151" i="8"/>
  <c r="F152" i="8"/>
  <c r="F153" i="8"/>
  <c r="F154" i="8"/>
  <c r="F155" i="8"/>
  <c r="F156" i="8"/>
  <c r="F158" i="8"/>
  <c r="F160" i="8"/>
  <c r="F5" i="8"/>
  <c r="F6" i="8"/>
  <c r="F7" i="8"/>
  <c r="F8" i="8"/>
  <c r="F9" i="8"/>
  <c r="F10" i="8"/>
  <c r="F4" i="8"/>
  <c r="E156" i="8"/>
  <c r="E158" i="8"/>
  <c r="E160" i="8"/>
  <c r="E26" i="8"/>
  <c r="E34" i="8"/>
  <c r="E43" i="8"/>
  <c r="E49" i="8"/>
  <c r="E51" i="8"/>
  <c r="E52" i="8"/>
  <c r="E53" i="8"/>
  <c r="E61" i="8"/>
  <c r="E69" i="8"/>
  <c r="E77" i="8"/>
  <c r="E86" i="8"/>
  <c r="E91" i="8"/>
  <c r="E99" i="8"/>
  <c r="E100" i="8"/>
  <c r="E101" i="8"/>
  <c r="E102" i="8"/>
  <c r="E104" i="8"/>
  <c r="E109" i="8"/>
  <c r="E117" i="8"/>
  <c r="E118" i="8"/>
  <c r="E119" i="8"/>
  <c r="E120" i="8"/>
  <c r="E122" i="8"/>
  <c r="E127" i="8"/>
  <c r="E135" i="8"/>
  <c r="E136" i="8"/>
  <c r="E137" i="8"/>
  <c r="E138" i="8"/>
  <c r="E140" i="8"/>
  <c r="E145" i="8"/>
  <c r="E153" i="8"/>
  <c r="E154" i="8"/>
  <c r="E155" i="8"/>
  <c r="E9" i="8"/>
  <c r="E10" i="8"/>
  <c r="E18" i="8"/>
  <c r="E4" i="8"/>
  <c r="Q72" i="13" l="1"/>
  <c r="H72" i="13" s="1"/>
  <c r="C53" i="13" s="1"/>
  <c r="Q56" i="13"/>
  <c r="Q57" i="13" s="1"/>
  <c r="Q58" i="13"/>
  <c r="H54" i="12"/>
  <c r="C61" i="12" s="1"/>
  <c r="Q56" i="12"/>
  <c r="Q72" i="12"/>
  <c r="H70" i="11"/>
  <c r="C88" i="11" s="1"/>
  <c r="H53" i="11"/>
  <c r="C53" i="11" s="1"/>
  <c r="H71" i="11"/>
  <c r="C89" i="11" s="1"/>
  <c r="Q72" i="11"/>
  <c r="Q55" i="11"/>
  <c r="H54" i="11"/>
  <c r="C54" i="11" s="1"/>
  <c r="Q72" i="10"/>
  <c r="H55" i="10"/>
  <c r="C55" i="10" s="1"/>
  <c r="Q56" i="10"/>
  <c r="H54" i="10"/>
  <c r="C54" i="10" s="1"/>
  <c r="H48" i="6"/>
  <c r="F48" i="6"/>
  <c r="H38" i="6"/>
  <c r="F38" i="6"/>
  <c r="H9" i="6"/>
  <c r="F9" i="6"/>
  <c r="Q73" i="13" l="1"/>
  <c r="Q74" i="13" s="1"/>
  <c r="Q59" i="13"/>
  <c r="H56" i="12"/>
  <c r="C63" i="12" s="1"/>
  <c r="Q57" i="12"/>
  <c r="Q73" i="12"/>
  <c r="H72" i="12"/>
  <c r="C95" i="12" s="1"/>
  <c r="Q56" i="11"/>
  <c r="H55" i="11"/>
  <c r="C55" i="11" s="1"/>
  <c r="Q73" i="11"/>
  <c r="H72" i="11"/>
  <c r="C90" i="11" s="1"/>
  <c r="Q73" i="10"/>
  <c r="H72" i="10"/>
  <c r="C88" i="10" s="1"/>
  <c r="Q57" i="10"/>
  <c r="H56" i="10"/>
  <c r="C56" i="10" s="1"/>
  <c r="H52" i="6"/>
  <c r="F52" i="6"/>
  <c r="B18" i="6"/>
  <c r="H51" i="6" s="1"/>
  <c r="B17" i="6"/>
  <c r="H50" i="6" s="1"/>
  <c r="B16" i="6"/>
  <c r="H49" i="6" s="1"/>
  <c r="F49" i="6"/>
  <c r="H43" i="6"/>
  <c r="F43" i="6"/>
  <c r="H39" i="6"/>
  <c r="F39" i="6"/>
  <c r="B13" i="6"/>
  <c r="B12" i="6"/>
  <c r="H27" i="6" s="1"/>
  <c r="B11" i="6"/>
  <c r="H26" i="6" s="1"/>
  <c r="B10" i="6"/>
  <c r="H23" i="6" s="1"/>
  <c r="B7" i="6"/>
  <c r="B8" i="6" s="1"/>
  <c r="H10" i="6"/>
  <c r="H73" i="13" l="1"/>
  <c r="C54" i="13" s="1"/>
  <c r="Q60" i="13"/>
  <c r="H74" i="13"/>
  <c r="C55" i="13" s="1"/>
  <c r="Q75" i="13"/>
  <c r="Q74" i="12"/>
  <c r="H73" i="12"/>
  <c r="C96" i="12" s="1"/>
  <c r="Q58" i="12"/>
  <c r="H57" i="12"/>
  <c r="C64" i="12" s="1"/>
  <c r="H73" i="11"/>
  <c r="C91" i="11" s="1"/>
  <c r="Q74" i="11"/>
  <c r="Q57" i="11"/>
  <c r="H56" i="11"/>
  <c r="C56" i="11" s="1"/>
  <c r="Q74" i="10"/>
  <c r="H73" i="10"/>
  <c r="C89" i="10" s="1"/>
  <c r="Q58" i="10"/>
  <c r="H57" i="10"/>
  <c r="C57" i="10" s="1"/>
  <c r="H28" i="6"/>
  <c r="H30" i="6"/>
  <c r="H34" i="6"/>
  <c r="H29" i="6"/>
  <c r="H33" i="6"/>
  <c r="H32" i="6"/>
  <c r="H16" i="6"/>
  <c r="H13" i="6"/>
  <c r="H17" i="6"/>
  <c r="H14" i="6"/>
  <c r="H15" i="6"/>
  <c r="H12" i="6"/>
  <c r="H11" i="6"/>
  <c r="H18" i="6"/>
  <c r="H22" i="6"/>
  <c r="H25" i="6"/>
  <c r="H24" i="6"/>
  <c r="H35" i="6"/>
  <c r="H31" i="6"/>
  <c r="Q76" i="13" l="1"/>
  <c r="H75" i="13"/>
  <c r="C56" i="13" s="1"/>
  <c r="Q61" i="13"/>
  <c r="H74" i="12"/>
  <c r="C97" i="12" s="1"/>
  <c r="Q75" i="12"/>
  <c r="H58" i="12"/>
  <c r="C65" i="12" s="1"/>
  <c r="Q59" i="12"/>
  <c r="Q58" i="11"/>
  <c r="H57" i="11"/>
  <c r="C57" i="11" s="1"/>
  <c r="H74" i="11"/>
  <c r="C92" i="11" s="1"/>
  <c r="Q75" i="11"/>
  <c r="H74" i="10"/>
  <c r="C90" i="10" s="1"/>
  <c r="Q75" i="10"/>
  <c r="Q59" i="10"/>
  <c r="H58" i="10"/>
  <c r="C58" i="10" s="1"/>
  <c r="H53" i="6"/>
  <c r="F53" i="6"/>
  <c r="F51" i="6"/>
  <c r="F50" i="6"/>
  <c r="H47" i="6"/>
  <c r="F47" i="6"/>
  <c r="H46" i="6"/>
  <c r="F46" i="6"/>
  <c r="H45" i="6"/>
  <c r="F45" i="6"/>
  <c r="H44" i="6"/>
  <c r="F44" i="6"/>
  <c r="H42" i="6"/>
  <c r="F42" i="6"/>
  <c r="H41" i="6"/>
  <c r="F41" i="6"/>
  <c r="H40" i="6"/>
  <c r="F40" i="6"/>
  <c r="H37" i="6"/>
  <c r="F37" i="6"/>
  <c r="H36" i="6"/>
  <c r="F36" i="6"/>
  <c r="F35" i="6"/>
  <c r="F34" i="6"/>
  <c r="F33" i="6"/>
  <c r="F32" i="6"/>
  <c r="F31" i="6"/>
  <c r="F30" i="6"/>
  <c r="F29" i="6"/>
  <c r="F28" i="6"/>
  <c r="F27" i="6"/>
  <c r="F26" i="6"/>
  <c r="F25" i="6"/>
  <c r="F24" i="6"/>
  <c r="F23" i="6"/>
  <c r="F22" i="6"/>
  <c r="H21" i="6"/>
  <c r="F21" i="6"/>
  <c r="H20" i="6"/>
  <c r="F20" i="6"/>
  <c r="H19" i="6"/>
  <c r="F19" i="6"/>
  <c r="F18" i="6"/>
  <c r="F17" i="6"/>
  <c r="F16" i="6"/>
  <c r="F15" i="6"/>
  <c r="F14" i="6"/>
  <c r="F13" i="6"/>
  <c r="F12" i="6"/>
  <c r="F11" i="6"/>
  <c r="F10" i="6"/>
  <c r="H8" i="6"/>
  <c r="F8" i="6"/>
  <c r="H7" i="6"/>
  <c r="F7" i="6"/>
  <c r="H6" i="6"/>
  <c r="F6" i="6"/>
  <c r="H5" i="6"/>
  <c r="F5" i="6"/>
  <c r="Q62" i="13" l="1"/>
  <c r="H76" i="13"/>
  <c r="C57" i="13" s="1"/>
  <c r="Q77" i="13"/>
  <c r="H59" i="12"/>
  <c r="C66" i="12" s="1"/>
  <c r="Q60" i="12"/>
  <c r="H75" i="12"/>
  <c r="C98" i="12" s="1"/>
  <c r="Q76" i="12"/>
  <c r="H75" i="11"/>
  <c r="C93" i="11" s="1"/>
  <c r="Q76" i="11"/>
  <c r="H58" i="11"/>
  <c r="C58" i="11" s="1"/>
  <c r="Q59" i="11"/>
  <c r="H75" i="10"/>
  <c r="C91" i="10" s="1"/>
  <c r="Q76" i="10"/>
  <c r="H59" i="10"/>
  <c r="C59" i="10" s="1"/>
  <c r="Q60" i="10"/>
  <c r="C42" i="5"/>
  <c r="C41" i="5"/>
  <c r="C40" i="5"/>
  <c r="C39" i="5"/>
  <c r="C38" i="5"/>
  <c r="C37" i="5"/>
  <c r="C36" i="5"/>
  <c r="Q78" i="13" l="1"/>
  <c r="H77" i="13"/>
  <c r="C58" i="13" s="1"/>
  <c r="Q63" i="13"/>
  <c r="H76" i="12"/>
  <c r="C99" i="12" s="1"/>
  <c r="Q77" i="12"/>
  <c r="H60" i="12"/>
  <c r="C67" i="12" s="1"/>
  <c r="Q61" i="12"/>
  <c r="H59" i="11"/>
  <c r="C59" i="11" s="1"/>
  <c r="Q60" i="11"/>
  <c r="Q77" i="11"/>
  <c r="H76" i="11"/>
  <c r="C94" i="11" s="1"/>
  <c r="H76" i="10"/>
  <c r="C92" i="10" s="1"/>
  <c r="Q77" i="10"/>
  <c r="Q61" i="10"/>
  <c r="H60" i="10"/>
  <c r="C60" i="10" s="1"/>
  <c r="F85" i="5"/>
  <c r="A35" i="5" s="1"/>
  <c r="F86" i="5"/>
  <c r="A40" i="5" s="1"/>
  <c r="F87" i="5"/>
  <c r="F88" i="5"/>
  <c r="A41" i="5" s="1"/>
  <c r="F89" i="5"/>
  <c r="F90" i="5"/>
  <c r="A42" i="5" s="1"/>
  <c r="F91" i="5"/>
  <c r="F92" i="5"/>
  <c r="F93" i="5"/>
  <c r="F94" i="5"/>
  <c r="H94" i="5"/>
  <c r="H93" i="5"/>
  <c r="H92" i="5"/>
  <c r="H86" i="5"/>
  <c r="B40" i="5" s="1"/>
  <c r="H87" i="5"/>
  <c r="H88" i="5"/>
  <c r="B41" i="5" s="1"/>
  <c r="H89" i="5"/>
  <c r="H90" i="5"/>
  <c r="B42" i="5" s="1"/>
  <c r="H91" i="5"/>
  <c r="H85" i="5"/>
  <c r="B35" i="5" s="1"/>
  <c r="H84" i="5"/>
  <c r="H83" i="5"/>
  <c r="B39" i="5" s="1"/>
  <c r="H43" i="5"/>
  <c r="B37" i="5" s="1"/>
  <c r="H44" i="5"/>
  <c r="B38" i="5" s="1"/>
  <c r="H42" i="5"/>
  <c r="B36" i="5" s="1"/>
  <c r="B13" i="5"/>
  <c r="H52" i="5" s="1"/>
  <c r="B12" i="5"/>
  <c r="H50" i="5" s="1"/>
  <c r="B11" i="5"/>
  <c r="H49" i="5" s="1"/>
  <c r="B10" i="5"/>
  <c r="H48" i="5" s="1"/>
  <c r="B7" i="5"/>
  <c r="B8" i="5" s="1"/>
  <c r="F16" i="5"/>
  <c r="F84" i="5"/>
  <c r="F83" i="5"/>
  <c r="A39" i="5" s="1"/>
  <c r="F82" i="5"/>
  <c r="F81" i="5"/>
  <c r="F80" i="5"/>
  <c r="F79" i="5"/>
  <c r="F78" i="5"/>
  <c r="F77" i="5"/>
  <c r="F76" i="5"/>
  <c r="F75" i="5"/>
  <c r="F74" i="5"/>
  <c r="F73" i="5"/>
  <c r="F72" i="5"/>
  <c r="F71" i="5"/>
  <c r="F70" i="5"/>
  <c r="F69" i="5"/>
  <c r="F68" i="5"/>
  <c r="F67" i="5"/>
  <c r="F66" i="5"/>
  <c r="F65" i="5"/>
  <c r="F64" i="5"/>
  <c r="F63" i="5"/>
  <c r="F62" i="5"/>
  <c r="F61" i="5"/>
  <c r="F60" i="5"/>
  <c r="F59" i="5"/>
  <c r="F58" i="5"/>
  <c r="F57" i="5"/>
  <c r="F56" i="5"/>
  <c r="F55" i="5"/>
  <c r="F54" i="5"/>
  <c r="F53" i="5"/>
  <c r="F52" i="5"/>
  <c r="F51" i="5"/>
  <c r="F50" i="5"/>
  <c r="F49" i="5"/>
  <c r="F48" i="5"/>
  <c r="F47" i="5"/>
  <c r="F46" i="5"/>
  <c r="F45" i="5"/>
  <c r="F44" i="5"/>
  <c r="A38" i="5" s="1"/>
  <c r="F43" i="5"/>
  <c r="A37" i="5" s="1"/>
  <c r="F42" i="5"/>
  <c r="A36" i="5" s="1"/>
  <c r="F41" i="5"/>
  <c r="F40" i="5"/>
  <c r="F39" i="5"/>
  <c r="F38" i="5"/>
  <c r="F37" i="5"/>
  <c r="F36" i="5"/>
  <c r="F35" i="5"/>
  <c r="F34" i="5"/>
  <c r="F33" i="5"/>
  <c r="F32" i="5"/>
  <c r="F31" i="5"/>
  <c r="F30" i="5"/>
  <c r="F29" i="5"/>
  <c r="F28" i="5"/>
  <c r="F27" i="5"/>
  <c r="F26" i="5"/>
  <c r="F25" i="5"/>
  <c r="F24" i="5"/>
  <c r="F23" i="5"/>
  <c r="F22" i="5"/>
  <c r="F21" i="5"/>
  <c r="F20" i="5"/>
  <c r="F19" i="5"/>
  <c r="F18" i="5"/>
  <c r="F17" i="5"/>
  <c r="F15" i="5"/>
  <c r="F14" i="5"/>
  <c r="F13" i="5"/>
  <c r="F12" i="5"/>
  <c r="F11" i="5"/>
  <c r="F10" i="5"/>
  <c r="F9" i="5"/>
  <c r="H8" i="5"/>
  <c r="F8" i="5"/>
  <c r="H7" i="5"/>
  <c r="F7" i="5"/>
  <c r="H6" i="5"/>
  <c r="F6" i="5"/>
  <c r="H5" i="5"/>
  <c r="B34" i="5" s="1"/>
  <c r="F5" i="5"/>
  <c r="A34" i="5" s="1"/>
  <c r="Q64" i="13" l="1"/>
  <c r="Q79" i="13"/>
  <c r="H78" i="13"/>
  <c r="C59" i="13" s="1"/>
  <c r="H61" i="12"/>
  <c r="C68" i="12" s="1"/>
  <c r="Q62" i="12"/>
  <c r="H77" i="12"/>
  <c r="C100" i="12" s="1"/>
  <c r="Q78" i="12"/>
  <c r="Q78" i="11"/>
  <c r="H77" i="11"/>
  <c r="C95" i="11" s="1"/>
  <c r="Q61" i="11"/>
  <c r="H60" i="11"/>
  <c r="C60" i="11" s="1"/>
  <c r="H77" i="10"/>
  <c r="C93" i="10" s="1"/>
  <c r="Q78" i="10"/>
  <c r="Q62" i="10"/>
  <c r="H61" i="10"/>
  <c r="C61" i="10" s="1"/>
  <c r="H51" i="5"/>
  <c r="H59" i="5"/>
  <c r="H67" i="5"/>
  <c r="H75" i="5"/>
  <c r="H58" i="5"/>
  <c r="H65" i="5"/>
  <c r="H73" i="5"/>
  <c r="H81" i="5"/>
  <c r="H56" i="5"/>
  <c r="H63" i="5"/>
  <c r="H71" i="5"/>
  <c r="H79" i="5"/>
  <c r="H46" i="5"/>
  <c r="H54" i="5"/>
  <c r="H61" i="5"/>
  <c r="H69" i="5"/>
  <c r="H77" i="5"/>
  <c r="H35" i="5"/>
  <c r="H39" i="5"/>
  <c r="H27" i="5"/>
  <c r="H31" i="5"/>
  <c r="H19" i="5"/>
  <c r="H23" i="5"/>
  <c r="H17" i="5"/>
  <c r="H13" i="5"/>
  <c r="H36" i="5"/>
  <c r="H40" i="5"/>
  <c r="H28" i="5"/>
  <c r="H32" i="5"/>
  <c r="H20" i="5"/>
  <c r="H24" i="5"/>
  <c r="H16" i="5"/>
  <c r="H14" i="5"/>
  <c r="H37" i="5"/>
  <c r="H41" i="5"/>
  <c r="H29" i="5"/>
  <c r="H33" i="5"/>
  <c r="H21" i="5"/>
  <c r="H25" i="5"/>
  <c r="H11" i="5"/>
  <c r="H15" i="5"/>
  <c r="H38" i="5"/>
  <c r="H34" i="5"/>
  <c r="H30" i="5"/>
  <c r="H26" i="5"/>
  <c r="H22" i="5"/>
  <c r="H18" i="5"/>
  <c r="H12" i="5"/>
  <c r="H10" i="5"/>
  <c r="H9" i="5"/>
  <c r="H45" i="5"/>
  <c r="H47" i="5"/>
  <c r="H55" i="5"/>
  <c r="H66" i="5"/>
  <c r="H62" i="5"/>
  <c r="H74" i="5"/>
  <c r="H70" i="5"/>
  <c r="H82" i="5"/>
  <c r="H78" i="5"/>
  <c r="H57" i="5"/>
  <c r="H53" i="5"/>
  <c r="H64" i="5"/>
  <c r="H60" i="5"/>
  <c r="H72" i="5"/>
  <c r="H68" i="5"/>
  <c r="H80" i="5"/>
  <c r="H76" i="5"/>
  <c r="H34" i="4"/>
  <c r="H33" i="4"/>
  <c r="F34" i="4"/>
  <c r="F33" i="4"/>
  <c r="H22" i="4"/>
  <c r="F22" i="4"/>
  <c r="H7" i="4"/>
  <c r="F7" i="4"/>
  <c r="H30" i="3"/>
  <c r="H29" i="3"/>
  <c r="H32" i="4"/>
  <c r="H31" i="4"/>
  <c r="H79" i="13" l="1"/>
  <c r="C60" i="13" s="1"/>
  <c r="Q80" i="13"/>
  <c r="Q65" i="13"/>
  <c r="Q79" i="12"/>
  <c r="H78" i="12"/>
  <c r="C101" i="12" s="1"/>
  <c r="Q63" i="12"/>
  <c r="H62" i="12"/>
  <c r="C69" i="12" s="1"/>
  <c r="H61" i="11"/>
  <c r="C61" i="11" s="1"/>
  <c r="Q62" i="11"/>
  <c r="Q79" i="11"/>
  <c r="H78" i="11"/>
  <c r="C96" i="11" s="1"/>
  <c r="H78" i="10"/>
  <c r="C94" i="10" s="1"/>
  <c r="Q79" i="10"/>
  <c r="Q63" i="10"/>
  <c r="H62" i="10"/>
  <c r="C62" i="10" s="1"/>
  <c r="H46" i="4"/>
  <c r="H47" i="4"/>
  <c r="H48" i="4"/>
  <c r="H49" i="4"/>
  <c r="H50" i="4"/>
  <c r="H51" i="4"/>
  <c r="H52" i="4"/>
  <c r="H45" i="4"/>
  <c r="F47" i="4"/>
  <c r="F48" i="4"/>
  <c r="F49" i="4"/>
  <c r="F50" i="4"/>
  <c r="F51" i="4"/>
  <c r="F52" i="4"/>
  <c r="F46" i="4"/>
  <c r="F45" i="4"/>
  <c r="Q81" i="13" l="1"/>
  <c r="H80" i="13"/>
  <c r="C61" i="13" s="1"/>
  <c r="Q66" i="13"/>
  <c r="H79" i="12"/>
  <c r="C102" i="12" s="1"/>
  <c r="Q80" i="12"/>
  <c r="H63" i="12"/>
  <c r="C70" i="12" s="1"/>
  <c r="Q64" i="12"/>
  <c r="Q80" i="11"/>
  <c r="H79" i="11"/>
  <c r="C97" i="11" s="1"/>
  <c r="H62" i="11"/>
  <c r="C62" i="11" s="1"/>
  <c r="Q63" i="11"/>
  <c r="H79" i="10"/>
  <c r="C95" i="10" s="1"/>
  <c r="Q80" i="10"/>
  <c r="H63" i="10"/>
  <c r="C63" i="10" s="1"/>
  <c r="Q64" i="10"/>
  <c r="Q53" i="4"/>
  <c r="Q54" i="4" s="1"/>
  <c r="Q55" i="4" s="1"/>
  <c r="Q56" i="4" s="1"/>
  <c r="Q57" i="4" s="1"/>
  <c r="Q58" i="4" s="1"/>
  <c r="Q59" i="4" s="1"/>
  <c r="Q60" i="4" s="1"/>
  <c r="Q61" i="4" s="1"/>
  <c r="Q62" i="4" s="1"/>
  <c r="Q63" i="4" s="1"/>
  <c r="Q64" i="4" s="1"/>
  <c r="Q65" i="4" s="1"/>
  <c r="Q66" i="4" s="1"/>
  <c r="Q67" i="4" s="1"/>
  <c r="Q68" i="4" s="1"/>
  <c r="H68" i="4" s="1"/>
  <c r="F86" i="4"/>
  <c r="F85" i="4"/>
  <c r="F84" i="4"/>
  <c r="F83" i="4"/>
  <c r="F82" i="4"/>
  <c r="F81" i="4"/>
  <c r="F80" i="4"/>
  <c r="F79" i="4"/>
  <c r="F78" i="4"/>
  <c r="F77" i="4"/>
  <c r="F76" i="4"/>
  <c r="F75" i="4"/>
  <c r="F74" i="4"/>
  <c r="F73" i="4"/>
  <c r="F72" i="4"/>
  <c r="F71" i="4"/>
  <c r="F70" i="4"/>
  <c r="F69" i="4"/>
  <c r="Q70" i="4"/>
  <c r="Q69" i="4"/>
  <c r="H69" i="4" s="1"/>
  <c r="Q58" i="3"/>
  <c r="Q57" i="3"/>
  <c r="H57" i="3" s="1"/>
  <c r="Q41" i="3"/>
  <c r="H41" i="3" s="1"/>
  <c r="F58" i="3"/>
  <c r="F57" i="3"/>
  <c r="Q67" i="13" l="1"/>
  <c r="H81" i="13"/>
  <c r="C62" i="13" s="1"/>
  <c r="Q82" i="13"/>
  <c r="H64" i="12"/>
  <c r="C71" i="12" s="1"/>
  <c r="Q65" i="12"/>
  <c r="H80" i="12"/>
  <c r="C103" i="12" s="1"/>
  <c r="Q81" i="12"/>
  <c r="H63" i="11"/>
  <c r="C63" i="11" s="1"/>
  <c r="Q64" i="11"/>
  <c r="Q81" i="11"/>
  <c r="H80" i="11"/>
  <c r="C98" i="11" s="1"/>
  <c r="Q81" i="10"/>
  <c r="H80" i="10"/>
  <c r="C96" i="10" s="1"/>
  <c r="Q65" i="10"/>
  <c r="H64" i="10"/>
  <c r="C64" i="10" s="1"/>
  <c r="Q42" i="3"/>
  <c r="H42" i="3" s="1"/>
  <c r="Q59" i="3"/>
  <c r="Q60" i="3" s="1"/>
  <c r="Q71" i="4"/>
  <c r="Q72" i="4" s="1"/>
  <c r="Q73" i="4" s="1"/>
  <c r="Q74" i="4" s="1"/>
  <c r="Q75" i="4" s="1"/>
  <c r="Q76" i="4" s="1"/>
  <c r="Q77" i="4" s="1"/>
  <c r="Q78" i="4" s="1"/>
  <c r="Q79" i="4" s="1"/>
  <c r="Q80" i="4" s="1"/>
  <c r="Q81" i="4" s="1"/>
  <c r="Q82" i="4" s="1"/>
  <c r="Q83" i="4" s="1"/>
  <c r="Q84" i="4" s="1"/>
  <c r="Q85" i="4" s="1"/>
  <c r="Q86" i="4" s="1"/>
  <c r="H86" i="4" s="1"/>
  <c r="H70" i="4"/>
  <c r="H56" i="4"/>
  <c r="H64" i="4"/>
  <c r="H53" i="4"/>
  <c r="H57" i="4"/>
  <c r="H61" i="4"/>
  <c r="H65" i="4"/>
  <c r="H54" i="4"/>
  <c r="H58" i="4"/>
  <c r="H62" i="4"/>
  <c r="H66" i="4"/>
  <c r="H55" i="4"/>
  <c r="H59" i="4"/>
  <c r="H63" i="4"/>
  <c r="H67" i="4"/>
  <c r="H60" i="4"/>
  <c r="H59" i="3"/>
  <c r="H58" i="3"/>
  <c r="Q17" i="4"/>
  <c r="H17" i="4" s="1"/>
  <c r="Q16" i="3"/>
  <c r="H16" i="3" s="1"/>
  <c r="F68" i="4"/>
  <c r="F67" i="4"/>
  <c r="F66" i="4"/>
  <c r="F65" i="4"/>
  <c r="F64" i="4"/>
  <c r="F63" i="4"/>
  <c r="F62" i="4"/>
  <c r="F61" i="4"/>
  <c r="F60" i="4"/>
  <c r="F59" i="4"/>
  <c r="F58" i="4"/>
  <c r="F57" i="4"/>
  <c r="F56" i="4"/>
  <c r="F55" i="4"/>
  <c r="F54" i="4"/>
  <c r="F53" i="4"/>
  <c r="H44" i="4"/>
  <c r="F44" i="4"/>
  <c r="H43" i="4"/>
  <c r="F43" i="4"/>
  <c r="H42" i="4"/>
  <c r="F42" i="4"/>
  <c r="H41" i="4"/>
  <c r="F41" i="4"/>
  <c r="H40" i="4"/>
  <c r="F40" i="4"/>
  <c r="H39" i="4"/>
  <c r="F39" i="4"/>
  <c r="H38" i="4"/>
  <c r="F38" i="4"/>
  <c r="H37" i="4"/>
  <c r="F37" i="4"/>
  <c r="H36" i="4"/>
  <c r="F36" i="4"/>
  <c r="H35" i="4"/>
  <c r="F35" i="4"/>
  <c r="F32" i="4"/>
  <c r="F31" i="4"/>
  <c r="H30" i="4"/>
  <c r="F30" i="4"/>
  <c r="H29" i="4"/>
  <c r="F29" i="4"/>
  <c r="H28" i="4"/>
  <c r="F28" i="4"/>
  <c r="H27" i="4"/>
  <c r="F27" i="4"/>
  <c r="H26" i="4"/>
  <c r="F26" i="4"/>
  <c r="H25" i="4"/>
  <c r="F25" i="4"/>
  <c r="H24" i="4"/>
  <c r="F24" i="4"/>
  <c r="H23" i="4"/>
  <c r="F23" i="4"/>
  <c r="H21" i="4"/>
  <c r="F21" i="4"/>
  <c r="H20" i="4"/>
  <c r="F20" i="4"/>
  <c r="H19" i="4"/>
  <c r="F19" i="4"/>
  <c r="H18" i="4"/>
  <c r="F18" i="4"/>
  <c r="F17" i="4"/>
  <c r="H16" i="4"/>
  <c r="F16" i="4"/>
  <c r="H15" i="4"/>
  <c r="F15" i="4"/>
  <c r="H14" i="4"/>
  <c r="F14" i="4"/>
  <c r="H13" i="4"/>
  <c r="F13" i="4"/>
  <c r="H12" i="4"/>
  <c r="F12" i="4"/>
  <c r="H11" i="4"/>
  <c r="F11" i="4"/>
  <c r="H10" i="4"/>
  <c r="F10" i="4"/>
  <c r="H9" i="4"/>
  <c r="F9" i="4"/>
  <c r="H8" i="4"/>
  <c r="F8" i="4"/>
  <c r="H6" i="4"/>
  <c r="F6" i="4"/>
  <c r="H5" i="4"/>
  <c r="F5" i="4"/>
  <c r="Q83" i="13" l="1"/>
  <c r="H82" i="13"/>
  <c r="C63" i="13" s="1"/>
  <c r="Q68" i="13"/>
  <c r="H71" i="4"/>
  <c r="Q82" i="12"/>
  <c r="H81" i="12"/>
  <c r="C104" i="12" s="1"/>
  <c r="Q66" i="12"/>
  <c r="H65" i="12"/>
  <c r="C72" i="12" s="1"/>
  <c r="Q82" i="11"/>
  <c r="H81" i="11"/>
  <c r="C99" i="11" s="1"/>
  <c r="Q65" i="11"/>
  <c r="H64" i="11"/>
  <c r="C64" i="11" s="1"/>
  <c r="Q82" i="10"/>
  <c r="H81" i="10"/>
  <c r="C97" i="10" s="1"/>
  <c r="Q66" i="10"/>
  <c r="H65" i="10"/>
  <c r="C65" i="10" s="1"/>
  <c r="H72" i="4"/>
  <c r="Q43" i="3"/>
  <c r="Q44" i="3" s="1"/>
  <c r="H60" i="3"/>
  <c r="Q61" i="3"/>
  <c r="H61" i="3" s="1"/>
  <c r="H85" i="4"/>
  <c r="H77" i="4"/>
  <c r="H84" i="4"/>
  <c r="H83" i="4"/>
  <c r="H75" i="4"/>
  <c r="H80" i="4"/>
  <c r="H82" i="4"/>
  <c r="H81" i="4"/>
  <c r="H73" i="4"/>
  <c r="H78" i="4"/>
  <c r="H74" i="4"/>
  <c r="H79" i="4"/>
  <c r="H76" i="4"/>
  <c r="H34" i="3"/>
  <c r="H35" i="3"/>
  <c r="H36" i="3"/>
  <c r="H37" i="3"/>
  <c r="H38" i="3"/>
  <c r="H39" i="3"/>
  <c r="H40" i="3"/>
  <c r="H32" i="3"/>
  <c r="H33" i="3"/>
  <c r="H31" i="3"/>
  <c r="H22" i="3"/>
  <c r="H23" i="3"/>
  <c r="H24" i="3"/>
  <c r="H25" i="3"/>
  <c r="H26" i="3"/>
  <c r="H27" i="3"/>
  <c r="H28" i="3"/>
  <c r="H21" i="3"/>
  <c r="H18" i="3"/>
  <c r="H19" i="3"/>
  <c r="H20" i="3"/>
  <c r="H17" i="3"/>
  <c r="H9" i="3"/>
  <c r="H10" i="3"/>
  <c r="H11" i="3"/>
  <c r="H12" i="3"/>
  <c r="H13" i="3"/>
  <c r="H14" i="3"/>
  <c r="H15" i="3"/>
  <c r="H8" i="3"/>
  <c r="H5" i="3"/>
  <c r="H6" i="3"/>
  <c r="H7"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59" i="3"/>
  <c r="F60" i="3"/>
  <c r="F61" i="3"/>
  <c r="F62" i="3"/>
  <c r="F63" i="3"/>
  <c r="F64" i="3"/>
  <c r="F65" i="3"/>
  <c r="F66" i="3"/>
  <c r="F67" i="3"/>
  <c r="F68" i="3"/>
  <c r="F69" i="3"/>
  <c r="F70" i="3"/>
  <c r="F71" i="3"/>
  <c r="F72" i="3"/>
  <c r="F73" i="3"/>
  <c r="F74" i="3"/>
  <c r="F41" i="3"/>
  <c r="F42" i="3"/>
  <c r="F43" i="3"/>
  <c r="F44" i="3"/>
  <c r="F45" i="3"/>
  <c r="F46" i="3"/>
  <c r="F47" i="3"/>
  <c r="F48" i="3"/>
  <c r="F49" i="3"/>
  <c r="F50" i="3"/>
  <c r="F51" i="3"/>
  <c r="F52" i="3"/>
  <c r="F53" i="3"/>
  <c r="F54" i="3"/>
  <c r="F55" i="3"/>
  <c r="F56" i="3"/>
  <c r="F5" i="3"/>
  <c r="Q69" i="13" l="1"/>
  <c r="H83" i="13"/>
  <c r="C64" i="13" s="1"/>
  <c r="Q84" i="13"/>
  <c r="H66" i="12"/>
  <c r="C73" i="12" s="1"/>
  <c r="Q67" i="12"/>
  <c r="H82" i="12"/>
  <c r="C105" i="12" s="1"/>
  <c r="Q83" i="12"/>
  <c r="Q66" i="11"/>
  <c r="H65" i="11"/>
  <c r="C65" i="11" s="1"/>
  <c r="H82" i="11"/>
  <c r="C100" i="11" s="1"/>
  <c r="Q83" i="11"/>
  <c r="Q83" i="10"/>
  <c r="H82" i="10"/>
  <c r="C98" i="10" s="1"/>
  <c r="Q67" i="10"/>
  <c r="H66" i="10"/>
  <c r="C66" i="10" s="1"/>
  <c r="Q62" i="3"/>
  <c r="Q45" i="3"/>
  <c r="H44" i="3"/>
  <c r="H43" i="3"/>
  <c r="H62" i="3"/>
  <c r="Q63" i="3"/>
  <c r="H84" i="13" l="1"/>
  <c r="C65" i="13" s="1"/>
  <c r="Q85" i="13"/>
  <c r="H83" i="12"/>
  <c r="C106" i="12" s="1"/>
  <c r="Q84" i="12"/>
  <c r="H67" i="12"/>
  <c r="C74" i="12" s="1"/>
  <c r="Q68" i="12"/>
  <c r="Q67" i="11"/>
  <c r="H66" i="11"/>
  <c r="C66" i="11" s="1"/>
  <c r="H83" i="11"/>
  <c r="C101" i="11" s="1"/>
  <c r="Q84" i="11"/>
  <c r="Q84" i="10"/>
  <c r="H83" i="10"/>
  <c r="C99" i="10" s="1"/>
  <c r="H67" i="10"/>
  <c r="C67" i="10" s="1"/>
  <c r="Q68" i="10"/>
  <c r="H45" i="3"/>
  <c r="Q46" i="3"/>
  <c r="Q64" i="3"/>
  <c r="H63" i="3"/>
  <c r="Q86" i="13" l="1"/>
  <c r="H85" i="13"/>
  <c r="C66" i="13" s="1"/>
  <c r="H68" i="12"/>
  <c r="C75" i="12" s="1"/>
  <c r="Q69" i="12"/>
  <c r="H69" i="12" s="1"/>
  <c r="C76" i="12" s="1"/>
  <c r="H84" i="12"/>
  <c r="C107" i="12" s="1"/>
  <c r="Q85" i="12"/>
  <c r="Q68" i="11"/>
  <c r="H68" i="11" s="1"/>
  <c r="C68" i="11" s="1"/>
  <c r="H67" i="11"/>
  <c r="C67" i="11" s="1"/>
  <c r="Q85" i="11"/>
  <c r="H84" i="11"/>
  <c r="C102" i="11" s="1"/>
  <c r="Q85" i="10"/>
  <c r="H84" i="10"/>
  <c r="C100" i="10" s="1"/>
  <c r="Q69" i="10"/>
  <c r="H69" i="10" s="1"/>
  <c r="C69" i="10" s="1"/>
  <c r="H68" i="10"/>
  <c r="C68" i="10" s="1"/>
  <c r="Q47" i="3"/>
  <c r="H46" i="3"/>
  <c r="Q65" i="3"/>
  <c r="H64" i="3"/>
  <c r="H86" i="13" l="1"/>
  <c r="C67" i="13" s="1"/>
  <c r="Q87" i="13"/>
  <c r="H87" i="13" s="1"/>
  <c r="C68" i="13" s="1"/>
  <c r="H85" i="12"/>
  <c r="C108" i="12" s="1"/>
  <c r="Q86" i="12"/>
  <c r="H85" i="11"/>
  <c r="C103" i="11" s="1"/>
  <c r="Q86" i="11"/>
  <c r="H86" i="11" s="1"/>
  <c r="C104" i="11" s="1"/>
  <c r="Q86" i="10"/>
  <c r="H85" i="10"/>
  <c r="C101" i="10" s="1"/>
  <c r="Q48" i="3"/>
  <c r="H47" i="3"/>
  <c r="Q66" i="3"/>
  <c r="H65" i="3"/>
  <c r="Q87" i="12" l="1"/>
  <c r="H87" i="12" s="1"/>
  <c r="C110" i="12" s="1"/>
  <c r="H86" i="12"/>
  <c r="C109" i="12" s="1"/>
  <c r="Q87" i="10"/>
  <c r="H87" i="10" s="1"/>
  <c r="C103" i="10" s="1"/>
  <c r="H86" i="10"/>
  <c r="C102" i="10" s="1"/>
  <c r="Q49" i="3"/>
  <c r="H48" i="3"/>
  <c r="Q67" i="3"/>
  <c r="H66" i="3"/>
  <c r="Q50" i="3" l="1"/>
  <c r="H49" i="3"/>
  <c r="Q68" i="3"/>
  <c r="H67" i="3"/>
  <c r="H50" i="3" l="1"/>
  <c r="Q51" i="3"/>
  <c r="Q69" i="3"/>
  <c r="H68" i="3"/>
  <c r="Q52" i="3" l="1"/>
  <c r="H51" i="3"/>
  <c r="Q70" i="3"/>
  <c r="H69" i="3"/>
  <c r="Q53" i="3" l="1"/>
  <c r="H52" i="3"/>
  <c r="Q71" i="3"/>
  <c r="H70" i="3"/>
  <c r="H53" i="3" l="1"/>
  <c r="Q54" i="3"/>
  <c r="Q72" i="3"/>
  <c r="H71" i="3"/>
  <c r="H54" i="3" l="1"/>
  <c r="Q55" i="3"/>
  <c r="Q73" i="3"/>
  <c r="H72" i="3"/>
  <c r="H55" i="3" l="1"/>
  <c r="Q56" i="3"/>
  <c r="H56" i="3" s="1"/>
  <c r="Q74" i="3"/>
  <c r="H74" i="3" s="1"/>
  <c r="H7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Magnanti, Claudio</author>
  </authors>
  <commentList>
    <comment ref="A34" authorId="0" shapeId="0" xr:uid="{43332384-4FDD-4D89-BE24-9DBE46F99331}">
      <text>
        <r>
          <rPr>
            <b/>
            <sz val="9"/>
            <color indexed="81"/>
            <rFont val="Tahoma"/>
            <charset val="1"/>
          </rPr>
          <t>Magnanti, Claudio:</t>
        </r>
        <r>
          <rPr>
            <sz val="9"/>
            <color indexed="81"/>
            <rFont val="Tahoma"/>
            <charset val="1"/>
          </rPr>
          <t xml:space="preserve">
This bit needs to be ON to enable the PLC to execute the change job
and, generally, to check if the camera is communicating correctly</t>
        </r>
      </text>
    </comment>
    <comment ref="A35" authorId="0" shapeId="0" xr:uid="{93B7593E-4D19-4822-A6E0-6AFC02F42CAE}">
      <text>
        <r>
          <rPr>
            <b/>
            <sz val="9"/>
            <color indexed="81"/>
            <rFont val="Tahoma"/>
            <charset val="1"/>
          </rPr>
          <t>Magnanti, Claudio:</t>
        </r>
        <r>
          <rPr>
            <sz val="9"/>
            <color indexed="81"/>
            <rFont val="Tahoma"/>
            <charset val="1"/>
          </rPr>
          <t xml:space="preserve">
This bit is the answer from the camera to the TriggerEnable bit, if is ON menas that the camera is ready to trigger, otherways there is something not working correctly in communication between PLC and camera</t>
        </r>
      </text>
    </comment>
    <comment ref="A36" authorId="0" shapeId="0" xr:uid="{F02B1401-5F9B-4F79-9EC7-C70667770892}">
      <text>
        <r>
          <rPr>
            <b/>
            <sz val="9"/>
            <color indexed="81"/>
            <rFont val="Tahoma"/>
            <charset val="1"/>
          </rPr>
          <t>Magnanti, Claudio:</t>
        </r>
        <r>
          <rPr>
            <sz val="9"/>
            <color indexed="81"/>
            <rFont val="Tahoma"/>
            <charset val="1"/>
          </rPr>
          <t xml:space="preserve">
This bit set to On starts the acquisition</t>
        </r>
      </text>
    </comment>
    <comment ref="A37" authorId="0" shapeId="0" xr:uid="{8AFB21C3-845D-4EC3-ADF6-891173CA34E1}">
      <text>
        <r>
          <rPr>
            <b/>
            <sz val="9"/>
            <color indexed="81"/>
            <rFont val="Tahoma"/>
            <charset val="1"/>
          </rPr>
          <t>Magnanti, Claudio:</t>
        </r>
        <r>
          <rPr>
            <sz val="9"/>
            <color indexed="81"/>
            <rFont val="Tahoma"/>
            <charset val="1"/>
          </rPr>
          <t xml:space="preserve">
This bit is the answer from the camera to the Trigger bit, if is ON camera received the Trigger, otherwise there is something wrong in the communication between camera and PLC.</t>
        </r>
      </text>
    </comment>
    <comment ref="A40" authorId="0" shapeId="0" xr:uid="{29FE3C3E-BC77-40D9-AEFE-10B6FD030962}">
      <text>
        <r>
          <rPr>
            <b/>
            <sz val="9"/>
            <color indexed="81"/>
            <rFont val="Tahoma"/>
            <charset val="1"/>
          </rPr>
          <t>Magnanti, Claudio:</t>
        </r>
        <r>
          <rPr>
            <sz val="9"/>
            <color indexed="81"/>
            <rFont val="Tahoma"/>
            <charset val="1"/>
          </rPr>
          <t xml:space="preserve">
This bit is to communicate that the whole job is finished and new results are available.Pay attention, this bit works in toggle, it goes On on one Trigger and Off on the second Trigger, and so on</t>
        </r>
      </text>
    </comment>
    <comment ref="A41" authorId="0" shapeId="0" xr:uid="{568A198D-1AA5-4E71-A052-2B26044F910D}">
      <text>
        <r>
          <rPr>
            <b/>
            <sz val="9"/>
            <color indexed="81"/>
            <rFont val="Tahoma"/>
            <charset val="1"/>
          </rPr>
          <t>Magnanti, Claudio:</t>
        </r>
        <r>
          <rPr>
            <sz val="9"/>
            <color indexed="81"/>
            <rFont val="Tahoma"/>
            <charset val="1"/>
          </rPr>
          <t xml:space="preserve">
This bit is the AND of all the tools in the job</t>
        </r>
      </text>
    </comment>
    <comment ref="A42" authorId="0" shapeId="0" xr:uid="{A45E0202-9C72-4567-8ACD-A74F4AB7BFEC}">
      <text>
        <r>
          <rPr>
            <b/>
            <sz val="9"/>
            <color indexed="81"/>
            <rFont val="Tahoma"/>
            <charset val="1"/>
          </rPr>
          <t>Magnanti, Claudio:</t>
        </r>
        <r>
          <rPr>
            <sz val="9"/>
            <color indexed="81"/>
            <rFont val="Tahoma"/>
            <charset val="1"/>
          </rPr>
          <t xml:space="preserve">
This number is the progressive count of the Trigger</t>
        </r>
      </text>
    </comment>
    <comment ref="A48" authorId="0" shapeId="0" xr:uid="{D0154ACA-8F46-42B5-BE23-3B3989E15A57}">
      <text>
        <r>
          <rPr>
            <b/>
            <sz val="9"/>
            <color indexed="81"/>
            <rFont val="Tahoma"/>
            <charset val="1"/>
          </rPr>
          <t>Magnanti, Claudio:</t>
        </r>
        <r>
          <rPr>
            <sz val="9"/>
            <color indexed="81"/>
            <rFont val="Tahoma"/>
            <charset val="1"/>
          </rPr>
          <t xml:space="preserve">
This number is the number of the job the camera is executing now.</t>
        </r>
      </text>
    </comment>
    <comment ref="A49" authorId="0" shapeId="0" xr:uid="{E62E090D-7EFF-4052-84C3-7FB0BA400473}">
      <text>
        <r>
          <rPr>
            <b/>
            <sz val="9"/>
            <color indexed="81"/>
            <rFont val="Tahoma"/>
            <charset val="1"/>
          </rPr>
          <t>Magnanti, Claudio:</t>
        </r>
        <r>
          <rPr>
            <sz val="9"/>
            <color indexed="81"/>
            <rFont val="Tahoma"/>
            <charset val="1"/>
          </rPr>
          <t xml:space="preserve">
This bit goes ON for the time the camera is busy executing the command from ExecuteCommand/JobLoad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Magnanti, Claudio</author>
  </authors>
  <commentList>
    <comment ref="A33" authorId="0" shapeId="0" xr:uid="{25673335-7F39-4650-AC65-790EA2E9D8A6}">
      <text>
        <r>
          <rPr>
            <b/>
            <sz val="9"/>
            <color indexed="81"/>
            <rFont val="Tahoma"/>
            <charset val="1"/>
          </rPr>
          <t>Magnanti, Claudio:</t>
        </r>
        <r>
          <rPr>
            <sz val="9"/>
            <color indexed="81"/>
            <rFont val="Tahoma"/>
            <charset val="1"/>
          </rPr>
          <t xml:space="preserve">
This bit needs to be ON to enable the PLC to execute the change job
and, generally, to check if the camera is communicating correctly</t>
        </r>
      </text>
    </comment>
    <comment ref="A34" authorId="0" shapeId="0" xr:uid="{13B041A7-0E80-42CB-8FB7-8D8EBFE36716}">
      <text>
        <r>
          <rPr>
            <b/>
            <sz val="9"/>
            <color indexed="81"/>
            <rFont val="Tahoma"/>
            <charset val="1"/>
          </rPr>
          <t>Magnanti, Claudio:</t>
        </r>
        <r>
          <rPr>
            <sz val="9"/>
            <color indexed="81"/>
            <rFont val="Tahoma"/>
            <charset val="1"/>
          </rPr>
          <t xml:space="preserve">
This bit needs to be ON to enable the PLC to execute the change job</t>
        </r>
      </text>
    </comment>
    <comment ref="A36" authorId="0" shapeId="0" xr:uid="{F78A3D44-90EA-45A8-AA32-2C05131A683A}">
      <text>
        <r>
          <rPr>
            <b/>
            <sz val="9"/>
            <color indexed="81"/>
            <rFont val="Tahoma"/>
            <charset val="1"/>
          </rPr>
          <t>Magnanti, Claudio:</t>
        </r>
        <r>
          <rPr>
            <sz val="9"/>
            <color indexed="81"/>
            <rFont val="Tahoma"/>
            <charset val="1"/>
          </rPr>
          <t xml:space="preserve">
This bit needs to be ON to enable the camera to operate the Trigger</t>
        </r>
      </text>
    </comment>
    <comment ref="A37" authorId="0" shapeId="0" xr:uid="{C3E414C4-F4C8-4AC2-BA5C-6C886DDCECC5}">
      <text>
        <r>
          <rPr>
            <b/>
            <sz val="9"/>
            <color indexed="81"/>
            <rFont val="Tahoma"/>
            <charset val="1"/>
          </rPr>
          <t>Magnanti, Claudio:</t>
        </r>
        <r>
          <rPr>
            <sz val="9"/>
            <color indexed="81"/>
            <rFont val="Tahoma"/>
            <charset val="1"/>
          </rPr>
          <t xml:space="preserve">
This bit is the answer from the camera to the TriggerEnable bit, if is ON menas that the camera is ready to trigger, otherways there is something not working correctly in communication between PLC and camera</t>
        </r>
      </text>
    </comment>
    <comment ref="A38" authorId="0" shapeId="0" xr:uid="{935621F3-6B8F-4A95-8C27-E0F8C97E7E0C}">
      <text>
        <r>
          <rPr>
            <b/>
            <sz val="9"/>
            <color indexed="81"/>
            <rFont val="Tahoma"/>
            <charset val="1"/>
          </rPr>
          <t>Magnanti, Claudio:</t>
        </r>
        <r>
          <rPr>
            <sz val="9"/>
            <color indexed="81"/>
            <rFont val="Tahoma"/>
            <charset val="1"/>
          </rPr>
          <t xml:space="preserve">
This bit set to On starts the acquisition</t>
        </r>
      </text>
    </comment>
    <comment ref="A39" authorId="0" shapeId="0" xr:uid="{87DBD4F0-11F0-4D21-BEC9-E233DE41BB3D}">
      <text>
        <r>
          <rPr>
            <b/>
            <sz val="9"/>
            <color indexed="81"/>
            <rFont val="Tahoma"/>
            <charset val="1"/>
          </rPr>
          <t>Magnanti, Claudio:</t>
        </r>
        <r>
          <rPr>
            <sz val="9"/>
            <color indexed="81"/>
            <rFont val="Tahoma"/>
            <charset val="1"/>
          </rPr>
          <t xml:space="preserve">
This bit is the answer from the camera to the Trigger bit, if is ON camera received the Trigger, otherwise there is something wrong in the communication between camera and PLC.</t>
        </r>
      </text>
    </comment>
    <comment ref="A40" authorId="0" shapeId="0" xr:uid="{46B36FE1-8101-43B1-9C40-5B5F9F3997C8}">
      <text>
        <r>
          <rPr>
            <b/>
            <sz val="9"/>
            <color indexed="81"/>
            <rFont val="Tahoma"/>
            <charset val="1"/>
          </rPr>
          <t>Magnanti, Claudio:</t>
        </r>
        <r>
          <rPr>
            <sz val="9"/>
            <color indexed="81"/>
            <rFont val="Tahoma"/>
            <charset val="1"/>
          </rPr>
          <t xml:space="preserve">
This bit is to inform you that the Image Acquisition process is ended (not the whole job elaboration), so the part under the camera can be moved, if needed.</t>
        </r>
      </text>
    </comment>
    <comment ref="A41" authorId="0" shapeId="0" xr:uid="{61146EE6-C529-4B46-A97D-8E7AB252B319}">
      <text>
        <r>
          <rPr>
            <b/>
            <sz val="9"/>
            <color indexed="81"/>
            <rFont val="Tahoma"/>
            <charset val="1"/>
          </rPr>
          <t>Magnanti, Claudio:</t>
        </r>
        <r>
          <rPr>
            <sz val="9"/>
            <color indexed="81"/>
            <rFont val="Tahoma"/>
            <charset val="1"/>
          </rPr>
          <t xml:space="preserve">
This bit, If ON from PLC, can clear the ExposureComplete bit.</t>
        </r>
      </text>
    </comment>
    <comment ref="A44" authorId="0" shapeId="0" xr:uid="{494F6E1C-DA65-4AE5-BE8B-D83D5B9879AB}">
      <text>
        <r>
          <rPr>
            <b/>
            <sz val="9"/>
            <color indexed="81"/>
            <rFont val="Tahoma"/>
            <charset val="1"/>
          </rPr>
          <t>Magnanti, Claudio:</t>
        </r>
        <r>
          <rPr>
            <sz val="9"/>
            <color indexed="81"/>
            <rFont val="Tahoma"/>
            <charset val="1"/>
          </rPr>
          <t xml:space="preserve">
This bit is to communicate that the wjole job is finisged and new results are available.Pay attention, this bit works in toggle, it goes On on one Trigger and Off on the second Trigger, and so on</t>
        </r>
      </text>
    </comment>
    <comment ref="A45" authorId="0" shapeId="0" xr:uid="{4A7296E8-989C-41AD-A851-9547E5F94BAA}">
      <text>
        <r>
          <rPr>
            <b/>
            <sz val="9"/>
            <color indexed="81"/>
            <rFont val="Tahoma"/>
            <charset val="1"/>
          </rPr>
          <t>Magnanti, Claudio:</t>
        </r>
        <r>
          <rPr>
            <sz val="9"/>
            <color indexed="81"/>
            <rFont val="Tahoma"/>
            <charset val="1"/>
          </rPr>
          <t xml:space="preserve">
This bit is the AND of all the tools in the job</t>
        </r>
      </text>
    </comment>
    <comment ref="A46" authorId="0" shapeId="0" xr:uid="{C464C4EC-5008-40DA-AA36-CBDBEDAD23BF}">
      <text>
        <r>
          <rPr>
            <b/>
            <sz val="9"/>
            <color indexed="81"/>
            <rFont val="Tahoma"/>
            <charset val="1"/>
          </rPr>
          <t>Magnanti, Claudio:</t>
        </r>
        <r>
          <rPr>
            <sz val="9"/>
            <color indexed="81"/>
            <rFont val="Tahoma"/>
            <charset val="1"/>
          </rPr>
          <t xml:space="preserve">
This number is the progressive count of the Trigger</t>
        </r>
      </text>
    </comment>
    <comment ref="A54" authorId="0" shapeId="0" xr:uid="{BC08EF62-FF37-4759-99AC-9DCD680FEB66}">
      <text>
        <r>
          <rPr>
            <b/>
            <sz val="9"/>
            <color indexed="81"/>
            <rFont val="Tahoma"/>
            <charset val="1"/>
          </rPr>
          <t>Magnanti, Claudio:</t>
        </r>
        <r>
          <rPr>
            <sz val="9"/>
            <color indexed="81"/>
            <rFont val="Tahoma"/>
            <charset val="1"/>
          </rPr>
          <t xml:space="preserve">
This number is the number of the job the camera is executing now.</t>
        </r>
      </text>
    </comment>
    <comment ref="A56" authorId="0" shapeId="0" xr:uid="{1E0706B1-DC50-4531-AEA3-B4E570E079E6}">
      <text>
        <r>
          <rPr>
            <b/>
            <sz val="9"/>
            <color indexed="81"/>
            <rFont val="Tahoma"/>
            <charset val="1"/>
          </rPr>
          <t>Magnanti, Claudio:</t>
        </r>
        <r>
          <rPr>
            <sz val="9"/>
            <color indexed="81"/>
            <rFont val="Tahoma"/>
            <charset val="1"/>
          </rPr>
          <t xml:space="preserve">
This bit goes ON for the time the camera is busy executing the command from ExecuteCommand/JobLoad</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<sst xmlns="http://schemas.openxmlformats.org/spreadsheetml/2006/main" count="3291" uniqueCount="536">
  <si>
    <t>VC Profiler Name:</t>
  </si>
  <si>
    <t>VCProfiler</t>
  </si>
  <si>
    <t>Table to be copied into TIA Portal</t>
  </si>
  <si>
    <t>Base Tags:</t>
  </si>
  <si>
    <t>Tag Name</t>
  </si>
  <si>
    <t>Data Type</t>
  </si>
  <si>
    <t>Address</t>
  </si>
  <si>
    <t>Bit Offset</t>
  </si>
  <si>
    <t>Module Name</t>
  </si>
  <si>
    <t>Start Address</t>
  </si>
  <si>
    <t>System Input 0</t>
  </si>
  <si>
    <t>Bool</t>
  </si>
  <si>
    <t xml:space="preserve">DO NOT MAKE ANY CHANGES RIGHT OF THIS COLUMN </t>
  </si>
  <si>
    <t>TriggerEnable</t>
  </si>
  <si>
    <t>%Q</t>
  </si>
  <si>
    <t>System Input</t>
  </si>
  <si>
    <t>BufferResultsEnable</t>
  </si>
  <si>
    <t>System Input 2-3</t>
  </si>
  <si>
    <t>ExecuteCommand</t>
  </si>
  <si>
    <t>System Input 4-7</t>
  </si>
  <si>
    <t>ClearError</t>
  </si>
  <si>
    <t>System Output 0</t>
  </si>
  <si>
    <t>Int</t>
  </si>
  <si>
    <t>Command ID</t>
  </si>
  <si>
    <t>%QW</t>
  </si>
  <si>
    <t>System Output 1</t>
  </si>
  <si>
    <t>SoftEvent[0]</t>
  </si>
  <si>
    <t>System Output 4-5</t>
  </si>
  <si>
    <t>SoftEvent[1]</t>
  </si>
  <si>
    <t>System Output 6-7</t>
  </si>
  <si>
    <t>SoftEvent[2]</t>
  </si>
  <si>
    <t>System Output 8-11</t>
  </si>
  <si>
    <t>SoftEvent[3]</t>
  </si>
  <si>
    <t>Input Channel</t>
  </si>
  <si>
    <t>SoftEvent[4]</t>
  </si>
  <si>
    <t>Output Channel</t>
  </si>
  <si>
    <t>SoftEvent[5]</t>
  </si>
  <si>
    <t>Inspection Results</t>
  </si>
  <si>
    <t>SoftEvent[6]</t>
  </si>
  <si>
    <t>SoftEvent[7]</t>
  </si>
  <si>
    <t>Instructions to use this spreadsheet</t>
  </si>
  <si>
    <t>SoftEvent[8]</t>
  </si>
  <si>
    <r>
      <t>·</t>
    </r>
    <r>
      <rPr>
        <sz val="7"/>
        <color theme="1"/>
        <rFont val="Times New Roman"/>
        <family val="1"/>
      </rPr>
      <t xml:space="preserve">         </t>
    </r>
    <r>
      <rPr>
        <sz val="11"/>
        <color theme="1"/>
        <rFont val="Calibri"/>
        <family val="2"/>
        <scheme val="minor"/>
      </rPr>
      <t>Put camera name in cell $B$2</t>
    </r>
  </si>
  <si>
    <t>System Input 5</t>
  </si>
  <si>
    <t>SoftEvent[9]</t>
  </si>
  <si>
    <r>
      <t>·</t>
    </r>
    <r>
      <rPr>
        <sz val="7"/>
        <color theme="1"/>
        <rFont val="Times New Roman"/>
        <family val="1"/>
      </rPr>
      <t xml:space="preserve">         </t>
    </r>
    <r>
      <rPr>
        <sz val="11"/>
        <color theme="1"/>
        <rFont val="Calibri"/>
        <family val="2"/>
        <scheme val="minor"/>
      </rPr>
      <t>Enter module addresses in cells $B$6 - $B$9 - $B$14 - $B$15 - $B$16</t>
    </r>
  </si>
  <si>
    <t>SoftEvent[10]</t>
  </si>
  <si>
    <r>
      <t>·</t>
    </r>
    <r>
      <rPr>
        <sz val="7"/>
        <color theme="1"/>
        <rFont val="Times New Roman"/>
        <family val="1"/>
      </rPr>
      <t xml:space="preserve">         </t>
    </r>
    <r>
      <rPr>
        <sz val="11"/>
        <color theme="1"/>
        <rFont val="Calibri"/>
        <family val="2"/>
        <scheme val="minor"/>
      </rPr>
      <t>Select cells $F$5 - $H$94</t>
    </r>
  </si>
  <si>
    <t>SoftEvent[11]</t>
  </si>
  <si>
    <r>
      <t>·</t>
    </r>
    <r>
      <rPr>
        <sz val="7"/>
        <color theme="1"/>
        <rFont val="Times New Roman"/>
        <family val="1"/>
      </rPr>
      <t xml:space="preserve">         </t>
    </r>
    <r>
      <rPr>
        <sz val="11"/>
        <color theme="1"/>
        <rFont val="Calibri"/>
        <family val="2"/>
        <scheme val="minor"/>
      </rPr>
      <t>Right click on highlighted cells and select ‘Copy’</t>
    </r>
  </si>
  <si>
    <t>SoftEvent[12]</t>
  </si>
  <si>
    <r>
      <t>·</t>
    </r>
    <r>
      <rPr>
        <sz val="7"/>
        <color theme="1"/>
        <rFont val="Times New Roman"/>
        <family val="1"/>
      </rPr>
      <t xml:space="preserve">         </t>
    </r>
    <r>
      <rPr>
        <sz val="11"/>
        <color theme="1"/>
        <rFont val="Calibri"/>
        <family val="2"/>
        <scheme val="minor"/>
      </rPr>
      <t>In TIA Portal, create new tag table</t>
    </r>
  </si>
  <si>
    <t>SoftEvent[13]</t>
  </si>
  <si>
    <r>
      <t>·</t>
    </r>
    <r>
      <rPr>
        <sz val="7"/>
        <color theme="1"/>
        <rFont val="Times New Roman"/>
        <family val="1"/>
      </rPr>
      <t xml:space="preserve">         </t>
    </r>
    <r>
      <rPr>
        <sz val="11"/>
        <color theme="1"/>
        <rFont val="Calibri"/>
        <family val="2"/>
        <scheme val="minor"/>
      </rPr>
      <t>Right click in first tag space and select Paste</t>
    </r>
  </si>
  <si>
    <t>SoftEvent[14]</t>
  </si>
  <si>
    <t>SoftEvent[15]</t>
  </si>
  <si>
    <t>Extra: if you want to insert a minimal WatchTable</t>
  </si>
  <si>
    <t>SoftEvent[16]</t>
  </si>
  <si>
    <r>
      <t>·</t>
    </r>
    <r>
      <rPr>
        <sz val="7"/>
        <color theme="1"/>
        <rFont val="Times New Roman"/>
        <family val="1"/>
      </rPr>
      <t xml:space="preserve">         </t>
    </r>
    <r>
      <rPr>
        <sz val="11"/>
        <color theme="1"/>
        <rFont val="Calibri"/>
        <family val="2"/>
        <scheme val="minor"/>
      </rPr>
      <t>Select cells $A$33 - $C$41</t>
    </r>
  </si>
  <si>
    <t>System Input 6</t>
  </si>
  <si>
    <t>SoftEvent[17]</t>
  </si>
  <si>
    <t>SoftEvent[18]</t>
  </si>
  <si>
    <r>
      <t>·</t>
    </r>
    <r>
      <rPr>
        <sz val="7"/>
        <color theme="1"/>
        <rFont val="Times New Roman"/>
        <family val="1"/>
      </rPr>
      <t xml:space="preserve">         </t>
    </r>
    <r>
      <rPr>
        <sz val="11"/>
        <color theme="1"/>
        <rFont val="Calibri"/>
        <family val="2"/>
        <scheme val="minor"/>
      </rPr>
      <t>In TIA Portal, create a new watch table</t>
    </r>
  </si>
  <si>
    <t>SoftEvent[19]</t>
  </si>
  <si>
    <r>
      <t>·</t>
    </r>
    <r>
      <rPr>
        <sz val="7"/>
        <color theme="1"/>
        <rFont val="Times New Roman"/>
        <family val="1"/>
      </rPr>
      <t xml:space="preserve">         </t>
    </r>
    <r>
      <rPr>
        <sz val="11"/>
        <color theme="1"/>
        <rFont val="Calibri"/>
        <family val="2"/>
        <scheme val="minor"/>
      </rPr>
      <t>Right click in first watch table name  space and select Paste</t>
    </r>
  </si>
  <si>
    <t>SoftEvent[20]</t>
  </si>
  <si>
    <t>SoftEvent[21]</t>
  </si>
  <si>
    <t>Minimal Watch Table</t>
  </si>
  <si>
    <t>SoftEvent[22]</t>
  </si>
  <si>
    <t>SoftEvent[23]</t>
  </si>
  <si>
    <t>SoftEvent[24]</t>
  </si>
  <si>
    <t>System Input 7</t>
  </si>
  <si>
    <t>SoftEvent[25]</t>
  </si>
  <si>
    <t>SoftEvent[26]</t>
  </si>
  <si>
    <t>SoftEvent[27]</t>
  </si>
  <si>
    <t>SoftEvent[28]</t>
  </si>
  <si>
    <t>SoftEvent[29]</t>
  </si>
  <si>
    <t>SoftEvent[30]</t>
  </si>
  <si>
    <t>SoftEvent[31]</t>
  </si>
  <si>
    <t>System_Ready</t>
  </si>
  <si>
    <t>%I</t>
  </si>
  <si>
    <t>Processing_Enabled</t>
  </si>
  <si>
    <t>Run_Mode</t>
  </si>
  <si>
    <t>Command_Executing</t>
  </si>
  <si>
    <t>Command_Completetd</t>
  </si>
  <si>
    <t>Command_Failed</t>
  </si>
  <si>
    <t>Error</t>
  </si>
  <si>
    <t>Word</t>
  </si>
  <si>
    <t>Command_Result_Code</t>
  </si>
  <si>
    <t>%IW</t>
  </si>
  <si>
    <t>Error_ID</t>
  </si>
  <si>
    <t>System Output 8</t>
  </si>
  <si>
    <t>SoftEvent_ACK[0]</t>
  </si>
  <si>
    <t>SoftEvent_ACK[1]</t>
  </si>
  <si>
    <t>SoftEvent_ACK[2]</t>
  </si>
  <si>
    <t>SoftEvent_ACK[3]</t>
  </si>
  <si>
    <t>SoftEvent_ACK[4]</t>
  </si>
  <si>
    <t>SoftEvent_ACK[5]</t>
  </si>
  <si>
    <t>SoftEvent_ACK[6]</t>
  </si>
  <si>
    <t>SoftEvent_ACK[7]</t>
  </si>
  <si>
    <t>System Output 9</t>
  </si>
  <si>
    <t>SoftEvent_ACK[8]</t>
  </si>
  <si>
    <t>SoftEvent_ACK[9]</t>
  </si>
  <si>
    <t>SoftEvent_ACK[10]</t>
  </si>
  <si>
    <t>SoftEvent_ACK[11]</t>
  </si>
  <si>
    <t>SoftEvent_ACK[12]</t>
  </si>
  <si>
    <t>SoftEvent_ACK[13]</t>
  </si>
  <si>
    <t>SoftEvent_ACK[14]</t>
  </si>
  <si>
    <t>SoftEvent_ACK[15]</t>
  </si>
  <si>
    <t>System Output 10</t>
  </si>
  <si>
    <t>SoftEvent_ACK[16]</t>
  </si>
  <si>
    <t>SoftEvent_ACK[17]</t>
  </si>
  <si>
    <t>SoftEvent_ACK[18]</t>
  </si>
  <si>
    <t>SoftEvent_ACK[19]</t>
  </si>
  <si>
    <t>SoftEvent_ACK[20]</t>
  </si>
  <si>
    <t>SoftEvent_ACK[21]</t>
  </si>
  <si>
    <t>SoftEvent_ACK[22]</t>
  </si>
  <si>
    <t>SoftEvent_ACK[23]</t>
  </si>
  <si>
    <t>System Output 11</t>
  </si>
  <si>
    <t>SoftEvent_ACK[24]</t>
  </si>
  <si>
    <t>SoftEvent_ACK[25]</t>
  </si>
  <si>
    <t>SoftEvent_ACK[26]</t>
  </si>
  <si>
    <t>SoftEvent_ACK[27]</t>
  </si>
  <si>
    <t>SoftEvent_ACK[28]</t>
  </si>
  <si>
    <t>SoftEvent_ACK[29]</t>
  </si>
  <si>
    <t>SoftEvent_ACK[30]</t>
  </si>
  <si>
    <t>SoftEvent_ACK[31]</t>
  </si>
  <si>
    <t>Trigger_Camera</t>
  </si>
  <si>
    <t>Inspection_Results_ACK</t>
  </si>
  <si>
    <t>Output Channel 0</t>
  </si>
  <si>
    <t>Trigger_Ready</t>
  </si>
  <si>
    <t>Trigger_ACK</t>
  </si>
  <si>
    <t>Acquisition_Error</t>
  </si>
  <si>
    <t>Inspection_Completed</t>
  </si>
  <si>
    <t>Results_Valid</t>
  </si>
  <si>
    <t>Inspection_Passed</t>
  </si>
  <si>
    <t>Results_Buffer_Overrun</t>
  </si>
  <si>
    <t>Output Channel 4-5</t>
  </si>
  <si>
    <t>Inspected_Image_ID</t>
  </si>
  <si>
    <t>Output Channel 6-7</t>
  </si>
  <si>
    <t>Inspection_Result_Code</t>
  </si>
  <si>
    <t>Floating-point number</t>
  </si>
  <si>
    <t>Inspection_Results</t>
  </si>
  <si>
    <t>%ID</t>
  </si>
  <si>
    <t>VIDIPC Name :</t>
  </si>
  <si>
    <t>VIDIPC</t>
  </si>
  <si>
    <t>SYSTEM CONTROL</t>
  </si>
  <si>
    <t>System Control/System Input</t>
  </si>
  <si>
    <t>System Control/Command ID</t>
  </si>
  <si>
    <t>System Control/SoftEvent 31</t>
  </si>
  <si>
    <t>Set_Paused</t>
  </si>
  <si>
    <t>System Output 4..5</t>
  </si>
  <si>
    <t>System Output 6..7</t>
  </si>
  <si>
    <t>System Output 8..11</t>
  </si>
  <si>
    <t>Engine Control 1/Input Channel</t>
  </si>
  <si>
    <t>Engine Control 1/Output Channel 0</t>
  </si>
  <si>
    <t>Output Channel 2..3</t>
  </si>
  <si>
    <t>Output Channel 4..5</t>
  </si>
  <si>
    <t>Output Channel 6..7</t>
  </si>
  <si>
    <t>User Data</t>
  </si>
  <si>
    <t>Paused</t>
  </si>
  <si>
    <t>Online</t>
  </si>
  <si>
    <r>
      <t>·</t>
    </r>
    <r>
      <rPr>
        <sz val="7"/>
        <color theme="1"/>
        <rFont val="Times New Roman"/>
        <family val="1"/>
      </rPr>
      <t xml:space="preserve">         </t>
    </r>
    <r>
      <rPr>
        <sz val="11"/>
        <color theme="1"/>
        <rFont val="Calibri"/>
        <family val="2"/>
        <scheme val="minor"/>
      </rPr>
      <t>Enter module addresses in cells $B$6 - $B$9 - $B$15 - $B$16 - $B$20 - $B$21</t>
    </r>
  </si>
  <si>
    <r>
      <t>·</t>
    </r>
    <r>
      <rPr>
        <sz val="7"/>
        <color theme="1"/>
        <rFont val="Times New Roman"/>
        <family val="1"/>
      </rPr>
      <t xml:space="preserve">         </t>
    </r>
    <r>
      <rPr>
        <sz val="11"/>
        <color theme="1"/>
        <rFont val="Calibri"/>
        <family val="2"/>
        <scheme val="minor"/>
      </rPr>
      <t>Select cells $F$5 - $H$98</t>
    </r>
  </si>
  <si>
    <t>ENGINE CONTROL 1</t>
  </si>
  <si>
    <t>Clear_Exposure_Complete</t>
  </si>
  <si>
    <t>Set_User_Data</t>
  </si>
  <si>
    <t>Exposure Complete</t>
  </si>
  <si>
    <t>Set_User_Data_Ack</t>
  </si>
  <si>
    <t>Output Channel 2-3</t>
  </si>
  <si>
    <t>Dec</t>
  </si>
  <si>
    <t>Acquisition_ID</t>
  </si>
  <si>
    <t>DWord</t>
  </si>
  <si>
    <t>User_Data</t>
  </si>
  <si>
    <t>%QD</t>
  </si>
  <si>
    <t>Dword</t>
  </si>
  <si>
    <t>In-Sight Camera Name:</t>
  </si>
  <si>
    <t>D902M</t>
  </si>
  <si>
    <t>Acquisition Control Module</t>
  </si>
  <si>
    <t>Trigger</t>
  </si>
  <si>
    <t>Acquisition Status Module</t>
  </si>
  <si>
    <t>ClearExposureComplete</t>
  </si>
  <si>
    <t>Inspection Control Module</t>
  </si>
  <si>
    <t>SetPaused</t>
  </si>
  <si>
    <t>Inspection Status Module</t>
  </si>
  <si>
    <t>TriggerReady</t>
  </si>
  <si>
    <t>Command Control Input Module</t>
  </si>
  <si>
    <t>TriggerAck</t>
  </si>
  <si>
    <t>Command Control Output Module</t>
  </si>
  <si>
    <t>ExposureComplete</t>
  </si>
  <si>
    <t>External Event Control Module (Q Address)</t>
  </si>
  <si>
    <t>AcquisitionError</t>
  </si>
  <si>
    <t>External Event Status Module   (I Address)</t>
  </si>
  <si>
    <t>Reserved</t>
  </si>
  <si>
    <t>User Data Module</t>
  </si>
  <si>
    <t>Inspection Results Module</t>
  </si>
  <si>
    <t>AcquisitionID</t>
  </si>
  <si>
    <r>
      <t>·</t>
    </r>
    <r>
      <rPr>
        <sz val="7"/>
        <color theme="1"/>
        <rFont val="Times New Roman"/>
        <family val="1"/>
      </rPr>
      <t xml:space="preserve">         </t>
    </r>
    <r>
      <rPr>
        <sz val="11"/>
        <color theme="1"/>
        <rFont val="Calibri"/>
        <family val="2"/>
        <scheme val="minor"/>
      </rPr>
      <t>Enter module addresses in cells $B$6-$B$15</t>
    </r>
  </si>
  <si>
    <t>InspectionResultsAck</t>
  </si>
  <si>
    <r>
      <t>·</t>
    </r>
    <r>
      <rPr>
        <sz val="7"/>
        <color theme="1"/>
        <rFont val="Times New Roman"/>
        <family val="1"/>
      </rPr>
      <t xml:space="preserve">         </t>
    </r>
    <r>
      <rPr>
        <sz val="11"/>
        <color theme="1"/>
        <rFont val="Calibri"/>
        <family val="2"/>
        <scheme val="minor"/>
      </rPr>
      <t>Select cells $F$5 - $H$86</t>
    </r>
  </si>
  <si>
    <t>SetUserData</t>
  </si>
  <si>
    <t>ExecuteCommand/JobLoad</t>
  </si>
  <si>
    <t>SystemReady</t>
  </si>
  <si>
    <t>InspectionCompleted</t>
  </si>
  <si>
    <t>ResultsBufferOverrun</t>
  </si>
  <si>
    <t>ResultsValid</t>
  </si>
  <si>
    <t>CommandExecuting</t>
  </si>
  <si>
    <t>CommandCompleted</t>
  </si>
  <si>
    <t>CommandFailed</t>
  </si>
  <si>
    <t>SetUserDataAck</t>
  </si>
  <si>
    <t>ResultsPassed (Job)</t>
  </si>
  <si>
    <t>ErrorCode</t>
  </si>
  <si>
    <t>Command Control Input</t>
  </si>
  <si>
    <t>CommandID</t>
  </si>
  <si>
    <t>Command Control Output</t>
  </si>
  <si>
    <t>CommandResultCode</t>
  </si>
  <si>
    <t>Soft Event Control</t>
  </si>
  <si>
    <t>External Event Control Input</t>
  </si>
  <si>
    <t>ExternalEvent[0]</t>
  </si>
  <si>
    <t>ExternalEvent[1]</t>
  </si>
  <si>
    <t>ExternalEvent[2]</t>
  </si>
  <si>
    <t>ExternalEvent[3]</t>
  </si>
  <si>
    <t>ExternalEvent[4]</t>
  </si>
  <si>
    <t>ExternalEvent[5]</t>
  </si>
  <si>
    <t>ExternalEvent[6]</t>
  </si>
  <si>
    <t>ExternalEvent[7]</t>
  </si>
  <si>
    <t>Soft Event Status</t>
  </si>
  <si>
    <t>ExternalEventAck[0]</t>
  </si>
  <si>
    <t>ExternalEventAck[1]</t>
  </si>
  <si>
    <t>ExternalEventAck[2]</t>
  </si>
  <si>
    <t>ExternalEventAck[3]</t>
  </si>
  <si>
    <t>ExternalEventAck[4]</t>
  </si>
  <si>
    <t>ExternalEventAck[5]</t>
  </si>
  <si>
    <t>ExternalEventAck[6]</t>
  </si>
  <si>
    <t>ExternalEventAck[7]</t>
  </si>
  <si>
    <t>Byte</t>
  </si>
  <si>
    <t>USARE QD x floating point</t>
  </si>
  <si>
    <t>UserData[0]</t>
  </si>
  <si>
    <t>%QB</t>
  </si>
  <si>
    <t>UserData[1]</t>
  </si>
  <si>
    <t>UserData[2]</t>
  </si>
  <si>
    <t>UserData[3]</t>
  </si>
  <si>
    <t>UserData[4]</t>
  </si>
  <si>
    <t>UserData[5]</t>
  </si>
  <si>
    <t>UserData[6]</t>
  </si>
  <si>
    <t>UserData[7]</t>
  </si>
  <si>
    <t>UserData[8]</t>
  </si>
  <si>
    <t>UserData[9]</t>
  </si>
  <si>
    <t>UserData[10]</t>
  </si>
  <si>
    <t>UserData[11]</t>
  </si>
  <si>
    <t>UserData[12]</t>
  </si>
  <si>
    <t>UserData[13]</t>
  </si>
  <si>
    <t>UserData[14]</t>
  </si>
  <si>
    <t>UserData[15]</t>
  </si>
  <si>
    <t>InspectionID</t>
  </si>
  <si>
    <t>InspectionResultsCode</t>
  </si>
  <si>
    <t>InspectionResults[0]</t>
  </si>
  <si>
    <t>%IB</t>
  </si>
  <si>
    <t>InspectionResults[1]</t>
  </si>
  <si>
    <t>InspectionResults[2]</t>
  </si>
  <si>
    <t>InspectionResults[3]</t>
  </si>
  <si>
    <t>InspectionResults[4]</t>
  </si>
  <si>
    <t>InspectionResults[5]</t>
  </si>
  <si>
    <t>InspectionResults[6]</t>
  </si>
  <si>
    <t>InspectionResults[7]</t>
  </si>
  <si>
    <t>InspectionResults[8]</t>
  </si>
  <si>
    <t>InspectionResults[9]</t>
  </si>
  <si>
    <t>InspectionResults[10]</t>
  </si>
  <si>
    <t>InspectionResults[11]</t>
  </si>
  <si>
    <t>InspectionResults[12]</t>
  </si>
  <si>
    <t>InspectionResults[13]</t>
  </si>
  <si>
    <t>InspectionResults[14]</t>
  </si>
  <si>
    <t>InspectionResults[15]</t>
  </si>
  <si>
    <t>SetOffline</t>
  </si>
  <si>
    <t>Job Control Input Module</t>
  </si>
  <si>
    <t>Job Control Output Module</t>
  </si>
  <si>
    <t>Soft Event Control Module (Q Address)</t>
  </si>
  <si>
    <t>MissedAcq</t>
  </si>
  <si>
    <t>Soft Event Status Module   (I Address)</t>
  </si>
  <si>
    <t>OfflineReason(0)</t>
  </si>
  <si>
    <t>OfflineReason(1)</t>
  </si>
  <si>
    <t>OfflineReason(2)</t>
  </si>
  <si>
    <t>SystemBusy</t>
  </si>
  <si>
    <t>JobPass</t>
  </si>
  <si>
    <t>TestRunReady</t>
  </si>
  <si>
    <t>CommandInput</t>
  </si>
  <si>
    <t>CommandOutput</t>
  </si>
  <si>
    <t>SoftEventAck[0]</t>
  </si>
  <si>
    <t>SoftEventAck[1]</t>
  </si>
  <si>
    <t>SoftEventAck[2]</t>
  </si>
  <si>
    <t>SoftEventAck[3]</t>
  </si>
  <si>
    <t>SoftEventAck[4]</t>
  </si>
  <si>
    <t>SoftEventAck[5]</t>
  </si>
  <si>
    <t>SoftEventAck[6]</t>
  </si>
  <si>
    <t>SoftEventAck[7]</t>
  </si>
  <si>
    <t>Note: These assemblies reflect firmware 4.10.1 and later</t>
  </si>
  <si>
    <t>is2000wall</t>
  </si>
  <si>
    <t>Acquiring</t>
  </si>
  <si>
    <t>Soft Event Control Input Module</t>
  </si>
  <si>
    <r>
      <t>·</t>
    </r>
    <r>
      <rPr>
        <sz val="7"/>
        <color theme="1"/>
        <rFont val="Times New Roman"/>
        <family val="1"/>
      </rPr>
      <t xml:space="preserve">         </t>
    </r>
    <r>
      <rPr>
        <sz val="11"/>
        <color theme="1"/>
        <rFont val="Calibri"/>
        <family val="2"/>
        <scheme val="minor"/>
      </rPr>
      <t>Enter module addresses in cells $B$6-$B$14</t>
    </r>
  </si>
  <si>
    <r>
      <t>·</t>
    </r>
    <r>
      <rPr>
        <sz val="7"/>
        <color theme="1"/>
        <rFont val="Times New Roman"/>
        <family val="1"/>
      </rPr>
      <t xml:space="preserve">         </t>
    </r>
    <r>
      <rPr>
        <sz val="11"/>
        <color theme="1"/>
        <rFont val="Calibri"/>
        <family val="2"/>
        <scheme val="minor"/>
      </rPr>
      <t>Select cells $F$5 - $H$74</t>
    </r>
  </si>
  <si>
    <t>Inspecting</t>
  </si>
  <si>
    <t>Job Control Input</t>
  </si>
  <si>
    <t>Command/JobControlInput</t>
  </si>
  <si>
    <t>Job Control Output</t>
  </si>
  <si>
    <t>Command/JobControlOutput</t>
  </si>
  <si>
    <t>Soft Event Control Input</t>
  </si>
  <si>
    <t>SoftEvent(0)</t>
  </si>
  <si>
    <t>SoftEvent(1)</t>
  </si>
  <si>
    <t>SoftEvent(2)</t>
  </si>
  <si>
    <t>SoftEvent(3)</t>
  </si>
  <si>
    <t>SoftEvent(4)</t>
  </si>
  <si>
    <t>SoftEvent(5)</t>
  </si>
  <si>
    <t>SoftEvent(6)</t>
  </si>
  <si>
    <t>SoftEvent(7)</t>
  </si>
  <si>
    <t>DO NOT MAKE ANY CHANGES RIGHT OF THIS COLUMN</t>
  </si>
  <si>
    <t>Result Control Module</t>
  </si>
  <si>
    <t>Result Status Module</t>
  </si>
  <si>
    <t>Soft Event Control Module ( Q )</t>
  </si>
  <si>
    <t>Soft Event Status Module ( I )</t>
  </si>
  <si>
    <t>TriggerID</t>
  </si>
  <si>
    <t>Results Data Module</t>
  </si>
  <si>
    <t>ResultsAck</t>
  </si>
  <si>
    <t>Decoding</t>
  </si>
  <si>
    <t>Decode Complete</t>
  </si>
  <si>
    <t>Results Buffer Overrun</t>
  </si>
  <si>
    <t>Results Available</t>
  </si>
  <si>
    <r>
      <t>·</t>
    </r>
    <r>
      <rPr>
        <sz val="7"/>
        <color theme="1"/>
        <rFont val="Times New Roman"/>
        <family val="1"/>
      </rPr>
      <t xml:space="preserve">         </t>
    </r>
    <r>
      <rPr>
        <sz val="11"/>
        <color theme="1"/>
        <rFont val="Calibri"/>
        <family val="2"/>
        <scheme val="minor"/>
      </rPr>
      <t>Enter module addresses in cells $B$6-$B$13</t>
    </r>
  </si>
  <si>
    <t>General Fault</t>
  </si>
  <si>
    <r>
      <t>·</t>
    </r>
    <r>
      <rPr>
        <sz val="7"/>
        <color theme="1"/>
        <rFont val="Times New Roman"/>
        <family val="1"/>
      </rPr>
      <t xml:space="preserve">         </t>
    </r>
    <r>
      <rPr>
        <sz val="11"/>
        <color theme="1"/>
        <rFont val="Calibri"/>
        <family val="2"/>
        <scheme val="minor"/>
      </rPr>
      <t>Select cells $F$6 - $H$71</t>
    </r>
  </si>
  <si>
    <t>Soft Event Control Module</t>
  </si>
  <si>
    <t>Train Code</t>
  </si>
  <si>
    <t>Train Match String</t>
  </si>
  <si>
    <t>Train Focus</t>
  </si>
  <si>
    <t>Train Brightness</t>
  </si>
  <si>
    <t>Untrain</t>
  </si>
  <si>
    <t>Execute DMCC</t>
  </si>
  <si>
    <t>Set Match String</t>
  </si>
  <si>
    <t>Soft Event Status Module</t>
  </si>
  <si>
    <t>Train Code Ack</t>
  </si>
  <si>
    <t>Train Match String Ack</t>
  </si>
  <si>
    <t>Train Focus Ack</t>
  </si>
  <si>
    <t>Train Brightness Ack</t>
  </si>
  <si>
    <t>Untrain Ack</t>
  </si>
  <si>
    <t>Execute DMCC Ack</t>
  </si>
  <si>
    <t>Set Match String Ack</t>
  </si>
  <si>
    <t>UserData Option</t>
  </si>
  <si>
    <t>UserData Length</t>
  </si>
  <si>
    <t>Results data Module</t>
  </si>
  <si>
    <t>ResultID</t>
  </si>
  <si>
    <t>Result Code</t>
  </si>
  <si>
    <t>Result Extended</t>
  </si>
  <si>
    <t>Result Length</t>
  </si>
  <si>
    <t>CC24 / VC5 Name:</t>
  </si>
  <si>
    <t>cc24</t>
  </si>
  <si>
    <t>Click here to copy all tags</t>
  </si>
  <si>
    <t>System Control (Byte 0)</t>
  </si>
  <si>
    <t>I address</t>
  </si>
  <si>
    <t>Q address</t>
  </si>
  <si>
    <t>InitiateJobLoad</t>
  </si>
  <si>
    <t>System Control</t>
  </si>
  <si>
    <t>Engine Control 1</t>
  </si>
  <si>
    <t>Engine Control 2</t>
  </si>
  <si>
    <t>UInt</t>
  </si>
  <si>
    <t>System Control (Byte 2-3)</t>
  </si>
  <si>
    <t>JobLoadID</t>
  </si>
  <si>
    <t>Engine Control 3</t>
  </si>
  <si>
    <t>System Control (Byte 4)</t>
  </si>
  <si>
    <t>Engine Control 4</t>
  </si>
  <si>
    <t>Results</t>
  </si>
  <si>
    <t>        1.  Put camera name in cell B2</t>
  </si>
  <si>
    <t>        2.  Enter module addresses in the yellow address cells</t>
  </si>
  <si>
    <t>        3.  If macros are enabled, then click on cell E2 to copy, otherwise:</t>
  </si>
  <si>
    <t>System Control (Byte 5)</t>
  </si>
  <si>
    <t>                3.1.  Select cells F4 - H160</t>
  </si>
  <si>
    <t>                3.2.  Right click on highlighted cells and select 'Copy'</t>
  </si>
  <si>
    <t>        4.  In TIA Portal, create new tag table</t>
  </si>
  <si>
    <r>
      <t>        5.  Right click in first tag space and select 'Paste</t>
    </r>
    <r>
      <rPr>
        <sz val="11"/>
        <color theme="1"/>
        <rFont val="Calibri"/>
        <family val="2"/>
        <charset val="2"/>
        <scheme val="minor"/>
      </rPr>
      <t>'</t>
    </r>
  </si>
  <si>
    <t>System Control (Byte 6)</t>
  </si>
  <si>
    <t>System Control (Byte 7)</t>
  </si>
  <si>
    <t>System Status (Byte 0)</t>
  </si>
  <si>
    <t>OfflineReasonBit0</t>
  </si>
  <si>
    <t>OfflineReasonBit1</t>
  </si>
  <si>
    <t>OfflineReasonBit2</t>
  </si>
  <si>
    <t>System Status (Byte 1)</t>
  </si>
  <si>
    <t>JobLoadComplete</t>
  </si>
  <si>
    <t>GeneralFault</t>
  </si>
  <si>
    <t>System Status (Byte 4-5)</t>
  </si>
  <si>
    <t>CurrentJobID</t>
  </si>
  <si>
    <t>System Status (Byte 6-7)</t>
  </si>
  <si>
    <t>ErrorID</t>
  </si>
  <si>
    <t>System Status (Byte 8)</t>
  </si>
  <si>
    <t>System Status (Byte 9)</t>
  </si>
  <si>
    <t>SoftEventAck[8]</t>
  </si>
  <si>
    <t>SoftEventAck[9]</t>
  </si>
  <si>
    <t>SoftEventAck[10]</t>
  </si>
  <si>
    <t>SoftEventAck[11]</t>
  </si>
  <si>
    <t>SoftEventAck[12]</t>
  </si>
  <si>
    <t>SoftEventAck[13]</t>
  </si>
  <si>
    <t>SoftEventAck[14]</t>
  </si>
  <si>
    <t>SoftEventAck[15]</t>
  </si>
  <si>
    <t>System Status (Byte 10)</t>
  </si>
  <si>
    <t>SoftEventAck[16]</t>
  </si>
  <si>
    <t>SoftEventAck[17]</t>
  </si>
  <si>
    <t>SoftEventAck[18]</t>
  </si>
  <si>
    <t>SoftEventAck[19]</t>
  </si>
  <si>
    <t>SoftEventAck[20]</t>
  </si>
  <si>
    <t>SoftEventAck[21]</t>
  </si>
  <si>
    <t>SoftEventAck[22]</t>
  </si>
  <si>
    <t>SoftEventAck[23]</t>
  </si>
  <si>
    <t>System Status (Byte 11)</t>
  </si>
  <si>
    <t>SoftEventAck[24]</t>
  </si>
  <si>
    <t>SoftEventAck[25]</t>
  </si>
  <si>
    <t>SoftEventAck[26]</t>
  </si>
  <si>
    <t>SoftEventAck[27]</t>
  </si>
  <si>
    <t>SoftEventAck[28]</t>
  </si>
  <si>
    <t>SoftEventAck[29]</t>
  </si>
  <si>
    <t>SoftEventAck[30]</t>
  </si>
  <si>
    <t>SoftEventAck[31]</t>
  </si>
  <si>
    <t>Engine Control 0</t>
  </si>
  <si>
    <t>Trigger[0]</t>
  </si>
  <si>
    <t>InspectionResultsAck[0]</t>
  </si>
  <si>
    <t>ClearExposureComplete[0]</t>
  </si>
  <si>
    <t>SetUserData[0]</t>
  </si>
  <si>
    <t>Engine Status 0 (Byte 0)</t>
  </si>
  <si>
    <t>TriggerReady[0]</t>
  </si>
  <si>
    <t>TriggerAck[0]</t>
  </si>
  <si>
    <t>AcqError[0]</t>
  </si>
  <si>
    <t>ExposureComplete[0]</t>
  </si>
  <si>
    <t>InspectionCompleted[0]</t>
  </si>
  <si>
    <t>ResultsValid[0]</t>
  </si>
  <si>
    <t>InspectionPassed[0]</t>
  </si>
  <si>
    <t>ResultsBufferOverrun[0]</t>
  </si>
  <si>
    <t>Engine Status 0 (Byte 1)</t>
  </si>
  <si>
    <t>SetUserDataAck[0]</t>
  </si>
  <si>
    <t>Engine Status 0 (Byte 2-3)</t>
  </si>
  <si>
    <t>AcquisitionID[0]</t>
  </si>
  <si>
    <t>Engine Status 0 (Byte 4-5)</t>
  </si>
  <si>
    <t>InspectedImageID[0]</t>
  </si>
  <si>
    <t>Engine Status 0 (Byte 6-7)</t>
  </si>
  <si>
    <t>InspectionResultCode[0]</t>
  </si>
  <si>
    <t>Trigger[1]</t>
  </si>
  <si>
    <t>InspectionResultsAck[1]</t>
  </si>
  <si>
    <t>ClearExposureComplete[1]</t>
  </si>
  <si>
    <t>SetUserData[1]</t>
  </si>
  <si>
    <t>Engine Status 1 (Byte 0)</t>
  </si>
  <si>
    <t>TriggerReady[1]</t>
  </si>
  <si>
    <t>TriggerAck[1]</t>
  </si>
  <si>
    <t>AcqError[1]</t>
  </si>
  <si>
    <t>ExposureComplete[1]</t>
  </si>
  <si>
    <t>InspectionCompleted[1]</t>
  </si>
  <si>
    <t>ResultsValid[1]</t>
  </si>
  <si>
    <t>InspectionPassed[1]</t>
  </si>
  <si>
    <t>ResultsBufferOverrun[1]</t>
  </si>
  <si>
    <t>Engine Status 1 (Byte 1)</t>
  </si>
  <si>
    <t>SetUserDataAck[1]</t>
  </si>
  <si>
    <t>Engine Status 1 (Byte 2-3)</t>
  </si>
  <si>
    <t>AcquisitionID[1]</t>
  </si>
  <si>
    <t>Engine Status 1 (Byte 4-5)</t>
  </si>
  <si>
    <t>InspectedImageID[1]</t>
  </si>
  <si>
    <t>Engine Status 1 (Byte 6-7)</t>
  </si>
  <si>
    <t>InspectionResultCode[1]</t>
  </si>
  <si>
    <t>Trigger[2]</t>
  </si>
  <si>
    <t>InspectionResultsAck[2]</t>
  </si>
  <si>
    <t>ClearExposureComplete[2]</t>
  </si>
  <si>
    <t>SetUserData[2]</t>
  </si>
  <si>
    <t>Engine Status 2 (Byte 0)</t>
  </si>
  <si>
    <t>TriggerReady[2]</t>
  </si>
  <si>
    <t>TriggerAck[2]</t>
  </si>
  <si>
    <t>AcqError[2]</t>
  </si>
  <si>
    <t>ExposureComplete[2]</t>
  </si>
  <si>
    <t>InspectionCompleted[2]</t>
  </si>
  <si>
    <t>ResultsValid[2]</t>
  </si>
  <si>
    <t>InspectionPassed[2]</t>
  </si>
  <si>
    <t>ResultsBufferOverrun[2]</t>
  </si>
  <si>
    <t>Engine Status 2 (Byte 1)</t>
  </si>
  <si>
    <t>SetUserDataAck[2]</t>
  </si>
  <si>
    <t>Engine Status 2 (Byte 2-3)</t>
  </si>
  <si>
    <t>AcquisitionID[2]</t>
  </si>
  <si>
    <t>Engine Status 2 (Byte 4-5)</t>
  </si>
  <si>
    <t>InspectedImageID[2]</t>
  </si>
  <si>
    <t>Engine Status 2 (Byte 6-7)</t>
  </si>
  <si>
    <t>InspectionResultCode[2]</t>
  </si>
  <si>
    <t>Trigger[3]</t>
  </si>
  <si>
    <t>InspectionResultsAck[3]</t>
  </si>
  <si>
    <t>ClearExposureComplete[3]</t>
  </si>
  <si>
    <t>SetUserData[3]</t>
  </si>
  <si>
    <t>Engine Status 3 (Byte 0)</t>
  </si>
  <si>
    <t>TriggerReady[3]</t>
  </si>
  <si>
    <t>TriggerAck[3]</t>
  </si>
  <si>
    <t>AcqError[3]</t>
  </si>
  <si>
    <t>ExposureComplete[3]</t>
  </si>
  <si>
    <t>InspectionCompleted[3]</t>
  </si>
  <si>
    <t>ResultsValid[3]</t>
  </si>
  <si>
    <t>InspectionPassed[3]</t>
  </si>
  <si>
    <t>ResultsBufferOverrun[3]</t>
  </si>
  <si>
    <t>Engine Status 3 (Byte 1)</t>
  </si>
  <si>
    <t>SetUserDataAck[3]</t>
  </si>
  <si>
    <t>Engine Status 3 (Byte 2-3)</t>
  </si>
  <si>
    <t>AcquisitionID[3]</t>
  </si>
  <si>
    <t>Engine Status 3 (Byte 4-5)</t>
  </si>
  <si>
    <t>InspectedImageID[3]</t>
  </si>
  <si>
    <t>Engine Status 3 (Byte 6-7)</t>
  </si>
  <si>
    <t>InspectionResultCode[3]</t>
  </si>
  <si>
    <t>UserData</t>
  </si>
  <si>
    <t>InspectionResults</t>
  </si>
  <si>
    <t>Read / No Read</t>
  </si>
  <si>
    <t>Validated / Not Validated</t>
  </si>
  <si>
    <t>Verified / Not Verified</t>
  </si>
  <si>
    <t>Acquisition Trigger Overrun</t>
  </si>
  <si>
    <t>Acquisition Buffer Overflow</t>
  </si>
  <si>
    <t>Current Job ID</t>
  </si>
  <si>
    <t>Result Control Module (Q)</t>
  </si>
  <si>
    <t>Result Status Module (I)</t>
  </si>
  <si>
    <t>Set Offline</t>
  </si>
  <si>
    <t>External Event Control Output</t>
  </si>
  <si>
    <t>Command Control Input Module (Q Address)</t>
  </si>
  <si>
    <t>Command Control Output Module (I Adderss)</t>
  </si>
  <si>
    <t>User Data Module (up to 4 modules)</t>
  </si>
  <si>
    <t>Inspection Results Module (up to 4 modules)</t>
  </si>
  <si>
    <t>Offline Reason</t>
  </si>
  <si>
    <t>External Event Status</t>
  </si>
  <si>
    <t>is2000</t>
  </si>
  <si>
    <t>is3800</t>
  </si>
  <si>
    <t>Inspection Passed</t>
  </si>
  <si>
    <t>Current Program ID</t>
  </si>
  <si>
    <t>USARE ID x floating point</t>
  </si>
  <si>
    <t>L4000ts</t>
  </si>
  <si>
    <t>snapp</t>
  </si>
  <si>
    <r>
      <t>·</t>
    </r>
    <r>
      <rPr>
        <sz val="7"/>
        <color rgb="FF000000"/>
        <rFont val="Times New Roman"/>
        <family val="1"/>
      </rPr>
      <t xml:space="preserve">         </t>
    </r>
    <r>
      <rPr>
        <sz val="11"/>
        <color rgb="FF000000"/>
        <rFont val="Calibri"/>
        <family val="2"/>
      </rPr>
      <t>Select cells $A$33 - $C$41</t>
    </r>
  </si>
  <si>
    <r>
      <t>·</t>
    </r>
    <r>
      <rPr>
        <sz val="7"/>
        <color rgb="FF000000"/>
        <rFont val="Times New Roman"/>
        <family val="1"/>
      </rPr>
      <t xml:space="preserve">         </t>
    </r>
    <r>
      <rPr>
        <sz val="11"/>
        <color rgb="FF000000"/>
        <rFont val="Calibri"/>
        <family val="2"/>
      </rPr>
      <t>Right click on highlighted cells and select ‘Copy’</t>
    </r>
  </si>
  <si>
    <r>
      <t>·</t>
    </r>
    <r>
      <rPr>
        <sz val="7"/>
        <color rgb="FF000000"/>
        <rFont val="Times New Roman"/>
        <family val="1"/>
      </rPr>
      <t xml:space="preserve">         </t>
    </r>
    <r>
      <rPr>
        <sz val="11"/>
        <color rgb="FF000000"/>
        <rFont val="Calibri"/>
        <family val="2"/>
      </rPr>
      <t>In TIA Portal, create a new watch table</t>
    </r>
  </si>
  <si>
    <r>
      <t>·</t>
    </r>
    <r>
      <rPr>
        <sz val="7"/>
        <color rgb="FF000000"/>
        <rFont val="Times New Roman"/>
        <family val="1"/>
      </rPr>
      <t xml:space="preserve">         </t>
    </r>
    <r>
      <rPr>
        <sz val="11"/>
        <color rgb="FF000000"/>
        <rFont val="Calibri"/>
        <family val="2"/>
      </rPr>
      <t>Right click in first watch table name  space and select Paste</t>
    </r>
  </si>
  <si>
    <t xml:space="preserve"> </t>
  </si>
  <si>
    <t>Dataman</t>
  </si>
  <si>
    <t>SystemValidated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</si>
</sst>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48"/>
      <color theme="1"/>
      <name val="Calibri"/>
      <family val="2"/>
      <scheme val="minor"/>
    </font>
    <font>
      <sz val="48"/>
      <color theme="1"/>
      <name val="Calibri"/>
      <family val="2"/>
      <scheme val="minor"/>
    </font>
    <font>
      <sz val="11"/>
      <color theme="1"/>
      <name val="Symbol"/>
      <family val="1"/>
      <charset val="2"/>
    </font>
    <font>
      <sz val="7"/>
      <color theme="1"/>
      <name val="Times New Roman"/>
      <family val="1"/>
    </font>
    <font>
      <sz val="11"/>
      <color theme="1"/>
      <name val="Calibri"/>
      <family val="2"/>
      <scheme val="minor"/>
    </font>
    <font>
      <sz val="11"/>
      <color rgb="FF3F3F76"/>
      <name val="Calibri"/>
      <family val="2"/>
      <scheme val="minor"/>
    </font>
    <font>
      <b/>
      <sz val="11"/>
      <color rgb="FFFA7D00"/>
      <name val="Calibri"/>
      <family val="2"/>
      <scheme val="minor"/>
    </font>
    <font>
      <u/>
      <sz val="11"/>
      <color theme="10"/>
      <name val="Calibri"/>
      <family val="2"/>
      <scheme val="minor"/>
    </font>
    <font>
      <sz val="11"/>
      <color theme="1"/>
      <name val="Calibri"/>
      <family val="2"/>
      <charset val="2"/>
      <scheme val="minor"/>
    </font>
    <font>
      <sz val="8"/>
      <name val="Calibri"/>
      <family val="2"/>
      <scheme val="minor"/>
    </font>
    <font>
      <u/>
      <sz val="11"/>
      <color theme="1"/>
      <name val="Calibri"/>
      <family val="2"/>
      <scheme val="minor"/>
    </font>
    <font>
      <sz val="11"/>
      <color rgb="FF000000"/>
      <name val="Calibri"/>
      <family val="2"/>
      <scheme val="minor"/>
    </font>
    <font>
      <sz val="9"/>
      <color indexed="81"/>
      <name val="Tahoma"/>
      <charset val="1"/>
    </font>
    <font>
      <b/>
      <sz val="9"/>
      <color indexed="81"/>
      <name val="Tahoma"/>
      <charset val="1"/>
    </font>
    <font>
      <b/>
      <sz val="11"/>
      <color rgb="FF000000"/>
      <name val="Calibri"/>
      <family val="2"/>
      <scheme val="minor"/>
    </font>
    <font>
      <sz val="11"/>
      <color rgb="FF000000"/>
      <name val="Symbol"/>
      <family val="1"/>
      <charset val="2"/>
    </font>
    <font>
      <sz val="7"/>
      <color rgb="FF000000"/>
      <name val="Times New Roman"/>
      <family val="1"/>
    </font>
    <font>
      <sz val="11"/>
      <color rgb="FF000000"/>
      <name val="Calibri"/>
      <family val="2"/>
    </font>
  </fonts>
  <fills count="5">
    <fill>
      <patternFill patternType="none"/>
    </fill>
    <fill>
      <patternFill patternType="gray125"/>
    </fill>
    <fill>
      <patternFill patternType="solid">
        <fgColor rgb="FFF2F2F2"/>
      </patternFill>
    </fill>
    <fill>
      <patternFill patternType="solid">
        <fgColor rgb="FFFFFFCC"/>
      </patternFill>
    </fill>
    <fill>
      <patternFill patternType="solid">
        <fgColor rgb="FFFFFFCC"/>
        <bgColor indexed="64"/>
      </patternFill>
    </fill>
  </fills>
  <borders count="84">
    <border>
      <left/>
      <right/>
      <top/>
      <bottom/>
      <diagonal/>
    </border>
    <border>
      <left/>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style="medium">
        <color indexed="64"/>
      </left>
      <right/>
      <top/>
      <bottom/>
      <diagonal/>
    </border>
    <border>
      <left/>
      <right/>
      <top style="thin">
        <color indexed="64"/>
      </top>
      <bottom/>
      <diagonal/>
    </border>
    <border>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thin">
        <color rgb="FFB2B2B2"/>
      </bottom>
      <diagonal/>
    </border>
    <border>
      <left style="medium">
        <color indexed="64"/>
      </left>
      <right style="medium">
        <color indexed="64"/>
      </right>
      <top style="thin">
        <color rgb="FFB2B2B2"/>
      </top>
      <bottom style="medium">
        <color indexed="64"/>
      </bottom>
      <diagonal/>
    </border>
    <border>
      <left style="medium">
        <color indexed="64"/>
      </left>
      <right style="medium">
        <color indexed="64"/>
      </right>
      <top style="thin">
        <color rgb="FFB2B2B2"/>
      </top>
      <bottom style="thin">
        <color rgb="FFB2B2B2"/>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auto="1"/>
      </left>
      <right style="medium">
        <color auto="1"/>
      </right>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right/>
      <top style="medium">
        <color auto="1"/>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medium">
        <color indexed="64"/>
      </bottom>
      <diagonal/>
    </border>
    <border>
      <left/>
      <right style="thin">
        <color indexed="64"/>
      </right>
      <top style="thin">
        <color indexed="64"/>
      </top>
      <bottom/>
      <diagonal/>
    </border>
    <border>
      <left/>
      <right style="medium">
        <color rgb="FF000000"/>
      </right>
      <top style="medium">
        <color indexed="64"/>
      </top>
      <bottom/>
      <diagonal/>
    </border>
    <border>
      <left/>
      <right style="medium">
        <color rgb="FF000000"/>
      </right>
      <top/>
      <bottom/>
      <diagonal/>
    </border>
    <border>
      <left/>
      <right style="medium">
        <color rgb="FF000000"/>
      </right>
      <top/>
      <bottom style="medium">
        <color indexed="64"/>
      </bottom>
      <diagonal/>
    </border>
  </borders>
  <cellStyleXfs count="4">
    <xf numFmtId="0" fontId="0" fillId="0" borderId="0"/>
    <xf numFmtId="0" fontId="10" fillId="2" borderId="30" applyNumberFormat="0" applyAlignment="0" applyProtection="0"/>
    <xf numFmtId="0" fontId="8" fillId="3" borderId="31" applyNumberFormat="0" applyFont="0" applyAlignment="0" applyProtection="0"/>
    <xf numFmtId="0" fontId="11" fillId="0" borderId="0" applyNumberFormat="0" applyFill="0" applyBorder="0" applyAlignment="0" applyProtection="0"/>
  </cellStyleXfs>
  <cellXfs count="211">
    <xf numFmtId="0" fontId="0" fillId="0" borderId="0" xfId="0"/>
    <xf numFmtId="0" fontId="0" fillId="0" borderId="0" xfId="0" applyAlignment="1">
      <alignment horizontal="center"/>
    </xf>
    <xf numFmtId="0" fontId="0" fillId="0" borderId="4" xfId="0" applyBorder="1" applyAlignment="1">
      <alignment horizontal="center" vertical="center"/>
    </xf>
    <xf numFmtId="1" fontId="0" fillId="0" borderId="0" xfId="0" applyNumberFormat="1"/>
    <xf numFmtId="0" fontId="0" fillId="0" borderId="13" xfId="0" applyBorder="1" applyAlignment="1">
      <alignment horizontal="center" vertical="center"/>
    </xf>
    <xf numFmtId="0" fontId="0" fillId="0" borderId="1" xfId="0" applyBorder="1"/>
    <xf numFmtId="0" fontId="0" fillId="0" borderId="14" xfId="0" applyBorder="1" applyAlignment="1">
      <alignment horizontal="center"/>
    </xf>
    <xf numFmtId="0" fontId="2" fillId="0" borderId="14" xfId="0" applyFont="1" applyBorder="1" applyAlignment="1">
      <alignment horizontal="center" vertical="center"/>
    </xf>
    <xf numFmtId="0" fontId="0" fillId="0" borderId="6" xfId="0" applyBorder="1"/>
    <xf numFmtId="0" fontId="0" fillId="0" borderId="3" xfId="0" applyBorder="1"/>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1" xfId="0" applyBorder="1" applyAlignment="1">
      <alignment horizontal="center" vertical="center"/>
    </xf>
    <xf numFmtId="0" fontId="0" fillId="0" borderId="0" xfId="0" applyAlignment="1">
      <alignment vertical="center"/>
    </xf>
    <xf numFmtId="0" fontId="1" fillId="0" borderId="0" xfId="0" applyFont="1" applyAlignment="1">
      <alignment vertical="center"/>
    </xf>
    <xf numFmtId="0" fontId="0" fillId="0" borderId="0" xfId="0" applyAlignment="1">
      <alignment horizontal="left"/>
    </xf>
    <xf numFmtId="0" fontId="1" fillId="0" borderId="6" xfId="0" applyFont="1" applyBorder="1" applyAlignment="1">
      <alignment vertical="center"/>
    </xf>
    <xf numFmtId="0" fontId="1" fillId="0" borderId="3" xfId="0" applyFont="1" applyBorder="1"/>
    <xf numFmtId="0" fontId="0" fillId="0" borderId="8" xfId="0" applyBorder="1"/>
    <xf numFmtId="0" fontId="0" fillId="0" borderId="12" xfId="0" applyBorder="1" applyAlignment="1">
      <alignment horizontal="center" vertical="center"/>
    </xf>
    <xf numFmtId="0" fontId="0" fillId="0" borderId="13" xfId="0" applyBorder="1"/>
    <xf numFmtId="0" fontId="0" fillId="0" borderId="22" xfId="0" applyBorder="1" applyAlignment="1">
      <alignment horizontal="center"/>
    </xf>
    <xf numFmtId="0" fontId="0" fillId="0" borderId="7" xfId="0" applyBorder="1"/>
    <xf numFmtId="0" fontId="0" fillId="0" borderId="5" xfId="0" applyBorder="1"/>
    <xf numFmtId="0" fontId="0" fillId="0" borderId="11" xfId="0" applyBorder="1" applyAlignment="1">
      <alignment horizontal="center" vertical="center"/>
    </xf>
    <xf numFmtId="0" fontId="0" fillId="0" borderId="25" xfId="0" applyBorder="1"/>
    <xf numFmtId="0" fontId="0" fillId="0" borderId="26" xfId="0" applyBorder="1" applyAlignment="1">
      <alignment horizontal="center" vertical="center"/>
    </xf>
    <xf numFmtId="0" fontId="0" fillId="0" borderId="27" xfId="0" applyBorder="1" applyAlignment="1">
      <alignment horizontal="center" vertical="center"/>
    </xf>
    <xf numFmtId="0" fontId="0" fillId="0" borderId="0" xfId="0" applyAlignment="1">
      <alignment wrapText="1"/>
    </xf>
    <xf numFmtId="9" fontId="0" fillId="0" borderId="0" xfId="0" applyNumberFormat="1" applyAlignment="1">
      <alignment horizontal="center"/>
    </xf>
    <xf numFmtId="0" fontId="0" fillId="0" borderId="32" xfId="0" applyBorder="1" applyAlignment="1">
      <alignment horizontal="center"/>
    </xf>
    <xf numFmtId="0" fontId="0" fillId="0" borderId="26" xfId="0" applyBorder="1"/>
    <xf numFmtId="0" fontId="0" fillId="0" borderId="35" xfId="0" applyBorder="1" applyAlignment="1">
      <alignment horizontal="center"/>
    </xf>
    <xf numFmtId="0" fontId="0" fillId="0" borderId="37" xfId="0" applyBorder="1" applyAlignment="1">
      <alignment horizontal="center"/>
    </xf>
    <xf numFmtId="0" fontId="1" fillId="0" borderId="41" xfId="0" applyFont="1" applyBorder="1" applyAlignment="1">
      <alignment horizontal="center" vertical="center"/>
    </xf>
    <xf numFmtId="1" fontId="0" fillId="3" borderId="43" xfId="2" applyNumberFormat="1" applyFont="1" applyBorder="1" applyAlignment="1">
      <alignment horizontal="center"/>
    </xf>
    <xf numFmtId="0" fontId="0" fillId="3" borderId="45" xfId="2" applyFont="1" applyBorder="1" applyAlignment="1">
      <alignment horizontal="center"/>
    </xf>
    <xf numFmtId="0" fontId="0" fillId="3" borderId="44" xfId="2" applyFont="1" applyBorder="1" applyAlignment="1">
      <alignment horizontal="center"/>
    </xf>
    <xf numFmtId="0" fontId="0" fillId="0" borderId="53" xfId="0" applyBorder="1"/>
    <xf numFmtId="0" fontId="0" fillId="0" borderId="52" xfId="0" applyBorder="1" applyAlignment="1">
      <alignment horizontal="center" vertical="center"/>
    </xf>
    <xf numFmtId="0" fontId="0" fillId="0" borderId="0" xfId="2" applyFont="1" applyFill="1" applyBorder="1" applyAlignment="1">
      <alignment horizontal="center"/>
    </xf>
    <xf numFmtId="0" fontId="2" fillId="0" borderId="15" xfId="0" applyFont="1" applyBorder="1" applyAlignment="1">
      <alignment horizontal="center" vertical="center"/>
    </xf>
    <xf numFmtId="0" fontId="2" fillId="0" borderId="28" xfId="0" applyFont="1" applyBorder="1" applyAlignment="1">
      <alignment horizontal="center" vertical="center"/>
    </xf>
    <xf numFmtId="1" fontId="0" fillId="3" borderId="13" xfId="2" applyNumberFormat="1" applyFont="1" applyBorder="1" applyAlignment="1">
      <alignment horizontal="center"/>
    </xf>
    <xf numFmtId="1" fontId="0" fillId="0" borderId="13" xfId="2" applyNumberFormat="1" applyFont="1" applyFill="1" applyBorder="1" applyAlignment="1">
      <alignment horizontal="center"/>
    </xf>
    <xf numFmtId="0" fontId="0" fillId="3" borderId="13" xfId="2" applyFont="1" applyBorder="1" applyAlignment="1">
      <alignment horizontal="center"/>
    </xf>
    <xf numFmtId="0" fontId="0" fillId="0" borderId="13" xfId="2" applyFont="1" applyFill="1" applyBorder="1" applyAlignment="1">
      <alignment horizontal="center"/>
    </xf>
    <xf numFmtId="0" fontId="0" fillId="3" borderId="4" xfId="2" applyFont="1" applyBorder="1" applyAlignment="1">
      <alignment horizontal="center"/>
    </xf>
    <xf numFmtId="0" fontId="0" fillId="0" borderId="55" xfId="0" applyBorder="1"/>
    <xf numFmtId="0" fontId="0" fillId="0" borderId="56" xfId="0" applyBorder="1" applyAlignment="1">
      <alignment horizontal="center" vertical="center"/>
    </xf>
    <xf numFmtId="0" fontId="0" fillId="0" borderId="27" xfId="0" applyBorder="1" applyAlignment="1">
      <alignment horizontal="center"/>
    </xf>
    <xf numFmtId="0" fontId="0" fillId="0" borderId="54" xfId="0" applyBorder="1"/>
    <xf numFmtId="0" fontId="0" fillId="0" borderId="60" xfId="0" applyBorder="1" applyAlignment="1">
      <alignment horizontal="center" vertical="center"/>
    </xf>
    <xf numFmtId="0" fontId="0" fillId="0" borderId="32" xfId="0" applyBorder="1"/>
    <xf numFmtId="0" fontId="0" fillId="0" borderId="37" xfId="0" applyBorder="1" applyAlignment="1">
      <alignment horizontal="center" vertical="center"/>
    </xf>
    <xf numFmtId="0" fontId="11" fillId="0" borderId="0" xfId="3"/>
    <xf numFmtId="0" fontId="0" fillId="0" borderId="28" xfId="0" applyBorder="1" applyAlignment="1">
      <alignment horizontal="center"/>
    </xf>
    <xf numFmtId="0" fontId="0" fillId="0" borderId="13" xfId="0" applyBorder="1" applyAlignment="1">
      <alignment horizontal="center"/>
    </xf>
    <xf numFmtId="0" fontId="0" fillId="0" borderId="4" xfId="0" applyBorder="1" applyAlignment="1">
      <alignment horizontal="center"/>
    </xf>
    <xf numFmtId="0" fontId="0" fillId="0" borderId="9" xfId="0" applyBorder="1" applyAlignment="1">
      <alignment horizontal="center" vertical="center"/>
    </xf>
    <xf numFmtId="0" fontId="0" fillId="0" borderId="53" xfId="0" applyBorder="1" applyAlignment="1">
      <alignment horizontal="center"/>
    </xf>
    <xf numFmtId="0" fontId="0" fillId="0" borderId="55" xfId="0" applyBorder="1" applyAlignment="1">
      <alignment horizontal="center"/>
    </xf>
    <xf numFmtId="0" fontId="1" fillId="0" borderId="23" xfId="0" applyFont="1" applyBorder="1" applyAlignment="1">
      <alignment horizontal="center" vertical="center"/>
    </xf>
    <xf numFmtId="0" fontId="1" fillId="0" borderId="0" xfId="0" applyFont="1" applyAlignment="1">
      <alignment horizontal="left"/>
    </xf>
    <xf numFmtId="0" fontId="1" fillId="0" borderId="0" xfId="0" applyFont="1" applyAlignment="1">
      <alignment horizontal="left" vertical="center"/>
    </xf>
    <xf numFmtId="0" fontId="0" fillId="3" borderId="23" xfId="2" applyFont="1" applyBorder="1" applyAlignment="1">
      <alignment horizontal="center"/>
    </xf>
    <xf numFmtId="0" fontId="0" fillId="3" borderId="16" xfId="2" applyFont="1" applyBorder="1" applyAlignment="1">
      <alignment horizontal="center"/>
    </xf>
    <xf numFmtId="1" fontId="0" fillId="0" borderId="23" xfId="0" applyNumberFormat="1" applyBorder="1" applyAlignment="1">
      <alignment horizontal="center"/>
    </xf>
    <xf numFmtId="0" fontId="0" fillId="0" borderId="23" xfId="0" applyBorder="1" applyAlignment="1">
      <alignment horizontal="center"/>
    </xf>
    <xf numFmtId="0" fontId="0" fillId="0" borderId="53" xfId="0" applyBorder="1" applyAlignment="1">
      <alignment horizontal="center" vertical="center"/>
    </xf>
    <xf numFmtId="0" fontId="0" fillId="0" borderId="9" xfId="0" applyBorder="1"/>
    <xf numFmtId="0" fontId="0" fillId="0" borderId="28" xfId="0" applyBorder="1" applyAlignment="1">
      <alignment horizontal="center" vertical="center"/>
    </xf>
    <xf numFmtId="0" fontId="0" fillId="0" borderId="55" xfId="0" applyBorder="1" applyAlignment="1">
      <alignment horizontal="center" vertical="center"/>
    </xf>
    <xf numFmtId="0" fontId="0" fillId="0" borderId="61" xfId="0" applyBorder="1" applyAlignment="1">
      <alignment horizontal="center"/>
    </xf>
    <xf numFmtId="0" fontId="0" fillId="0" borderId="62" xfId="0" applyBorder="1" applyAlignment="1">
      <alignment horizontal="center"/>
    </xf>
    <xf numFmtId="0" fontId="0" fillId="0" borderId="63" xfId="0" applyBorder="1" applyAlignment="1">
      <alignment horizontal="center"/>
    </xf>
    <xf numFmtId="0" fontId="0" fillId="0" borderId="21" xfId="0" applyBorder="1" applyAlignment="1">
      <alignment horizontal="center" vertical="center"/>
    </xf>
    <xf numFmtId="0" fontId="1" fillId="0" borderId="64" xfId="0" applyFont="1" applyBorder="1" applyAlignment="1">
      <alignment horizontal="center" vertical="center"/>
    </xf>
    <xf numFmtId="0" fontId="0" fillId="0" borderId="65" xfId="0" applyBorder="1"/>
    <xf numFmtId="0" fontId="0" fillId="0" borderId="66" xfId="0" applyBorder="1" applyAlignment="1">
      <alignment horizontal="center" vertical="center"/>
    </xf>
    <xf numFmtId="0" fontId="0" fillId="0" borderId="22" xfId="0" applyBorder="1" applyAlignment="1">
      <alignment horizontal="center" vertical="center"/>
    </xf>
    <xf numFmtId="0" fontId="8" fillId="4" borderId="20" xfId="2" applyNumberFormat="1" applyFont="1" applyFill="1" applyBorder="1" applyAlignment="1" applyProtection="1">
      <alignment horizontal="center" vertical="center"/>
      <protection locked="0"/>
    </xf>
    <xf numFmtId="0" fontId="0" fillId="4" borderId="10" xfId="0" applyFill="1" applyBorder="1" applyAlignment="1" applyProtection="1">
      <alignment horizontal="center" vertical="center"/>
      <protection locked="0"/>
    </xf>
    <xf numFmtId="0" fontId="8" fillId="4" borderId="38" xfId="2" applyNumberFormat="1" applyFont="1" applyFill="1" applyBorder="1" applyAlignment="1" applyProtection="1">
      <alignment horizontal="center" vertical="center"/>
      <protection locked="0"/>
    </xf>
    <xf numFmtId="0" fontId="0" fillId="4" borderId="73" xfId="0" applyFill="1" applyBorder="1" applyAlignment="1" applyProtection="1">
      <alignment horizontal="center" vertical="center"/>
      <protection locked="0"/>
    </xf>
    <xf numFmtId="0" fontId="8" fillId="4" borderId="42" xfId="2" applyNumberFormat="1" applyFont="1" applyFill="1" applyBorder="1" applyAlignment="1" applyProtection="1">
      <alignment horizontal="center" vertical="center"/>
      <protection locked="0"/>
    </xf>
    <xf numFmtId="0" fontId="1" fillId="0" borderId="0" xfId="0" applyFont="1" applyAlignment="1">
      <alignment horizontal="center" vertical="center"/>
    </xf>
    <xf numFmtId="0" fontId="1" fillId="0" borderId="77" xfId="0" applyFont="1" applyBorder="1" applyAlignment="1">
      <alignment horizontal="center" vertical="center"/>
    </xf>
    <xf numFmtId="0" fontId="1" fillId="0" borderId="78" xfId="0" applyFont="1" applyBorder="1" applyAlignment="1">
      <alignment horizontal="center" vertical="center"/>
    </xf>
    <xf numFmtId="0" fontId="0" fillId="0" borderId="67" xfId="0" applyBorder="1" applyAlignment="1">
      <alignment vertical="center"/>
    </xf>
    <xf numFmtId="0" fontId="0" fillId="0" borderId="75" xfId="0" applyBorder="1" applyAlignment="1">
      <alignment vertical="center"/>
    </xf>
    <xf numFmtId="0" fontId="2" fillId="0" borderId="71" xfId="2" applyNumberFormat="1" applyFont="1" applyFill="1" applyBorder="1" applyAlignment="1" applyProtection="1">
      <alignment horizontal="center" vertical="center"/>
    </xf>
    <xf numFmtId="0" fontId="2" fillId="0" borderId="72" xfId="0" applyFont="1" applyBorder="1" applyAlignment="1">
      <alignment horizontal="center" vertical="center"/>
    </xf>
    <xf numFmtId="0" fontId="0" fillId="0" borderId="15" xfId="0" applyBorder="1" applyAlignment="1">
      <alignment vertical="center"/>
    </xf>
    <xf numFmtId="0" fontId="0" fillId="0" borderId="23" xfId="0" applyBorder="1" applyAlignment="1">
      <alignment vertical="center"/>
    </xf>
    <xf numFmtId="0" fontId="0" fillId="0" borderId="68" xfId="0" applyBorder="1" applyAlignment="1">
      <alignment vertical="center"/>
    </xf>
    <xf numFmtId="0" fontId="0" fillId="0" borderId="76" xfId="0" applyBorder="1" applyAlignment="1">
      <alignment vertical="center"/>
    </xf>
    <xf numFmtId="0" fontId="8" fillId="0" borderId="38" xfId="2" applyNumberFormat="1" applyFont="1" applyFill="1" applyBorder="1" applyAlignment="1" applyProtection="1">
      <alignment horizontal="center" vertical="center"/>
    </xf>
    <xf numFmtId="0" fontId="0" fillId="0" borderId="16" xfId="0" applyBorder="1" applyAlignment="1">
      <alignment vertical="center"/>
    </xf>
    <xf numFmtId="0" fontId="0" fillId="0" borderId="70" xfId="0" applyBorder="1" applyAlignment="1">
      <alignment horizontal="center" vertical="center"/>
    </xf>
    <xf numFmtId="0" fontId="8" fillId="0" borderId="0" xfId="2" applyNumberFormat="1" applyFont="1" applyFill="1" applyBorder="1" applyAlignment="1" applyProtection="1">
      <alignment horizontal="center" vertical="center"/>
    </xf>
    <xf numFmtId="0" fontId="1" fillId="0" borderId="71" xfId="0" applyFont="1" applyBorder="1" applyAlignment="1">
      <alignment horizontal="center" vertical="center"/>
    </xf>
    <xf numFmtId="0" fontId="0" fillId="0" borderId="61" xfId="0" applyBorder="1" applyAlignment="1">
      <alignment vertical="center"/>
    </xf>
    <xf numFmtId="0" fontId="0" fillId="0" borderId="79" xfId="0" applyBorder="1" applyAlignment="1">
      <alignment horizontal="center" vertical="center"/>
    </xf>
    <xf numFmtId="0" fontId="0" fillId="0" borderId="63" xfId="0" applyBorder="1" applyAlignment="1">
      <alignment horizontal="center" vertical="center"/>
    </xf>
    <xf numFmtId="0" fontId="1" fillId="0" borderId="38" xfId="0" applyFont="1" applyBorder="1" applyAlignment="1">
      <alignment horizontal="center" vertical="center"/>
    </xf>
    <xf numFmtId="0" fontId="1" fillId="0" borderId="42" xfId="0" applyFont="1" applyBorder="1" applyAlignment="1">
      <alignment horizontal="center" vertical="center"/>
    </xf>
    <xf numFmtId="0" fontId="0" fillId="0" borderId="20" xfId="0" applyBorder="1" applyAlignment="1">
      <alignment horizontal="center"/>
    </xf>
    <xf numFmtId="0" fontId="0" fillId="0" borderId="42" xfId="0" applyBorder="1" applyAlignment="1">
      <alignment horizontal="center"/>
    </xf>
    <xf numFmtId="0" fontId="0" fillId="0" borderId="38" xfId="0" applyBorder="1" applyAlignment="1">
      <alignment horizontal="center"/>
    </xf>
    <xf numFmtId="0" fontId="1" fillId="0" borderId="18" xfId="0" applyFont="1" applyBorder="1" applyAlignment="1">
      <alignment horizontal="center" vertical="center"/>
    </xf>
    <xf numFmtId="0" fontId="1" fillId="0" borderId="16" xfId="0" applyFont="1" applyBorder="1" applyAlignment="1">
      <alignment horizontal="center" vertical="center"/>
    </xf>
    <xf numFmtId="0" fontId="15" fillId="0" borderId="7" xfId="0" applyFont="1" applyBorder="1"/>
    <xf numFmtId="0" fontId="1" fillId="0" borderId="39" xfId="0" applyFont="1" applyBorder="1" applyAlignment="1">
      <alignment horizontal="center" vertical="center"/>
    </xf>
    <xf numFmtId="0" fontId="0" fillId="0" borderId="80" xfId="0" applyBorder="1"/>
    <xf numFmtId="0" fontId="15" fillId="0" borderId="80" xfId="0" applyFont="1" applyBorder="1"/>
    <xf numFmtId="0" fontId="0" fillId="0" borderId="62" xfId="0" applyBorder="1"/>
    <xf numFmtId="0" fontId="0" fillId="0" borderId="32" xfId="0" applyBorder="1" applyAlignment="1">
      <alignment horizontal="center" vertical="center"/>
    </xf>
    <xf numFmtId="0" fontId="0" fillId="0" borderId="8" xfId="0" applyBorder="1" applyAlignment="1">
      <alignment horizontal="center"/>
    </xf>
    <xf numFmtId="0" fontId="0" fillId="0" borderId="32" xfId="0" applyBorder="1" applyAlignment="1">
      <alignment vertical="center"/>
    </xf>
    <xf numFmtId="0" fontId="15" fillId="0" borderId="0" xfId="0" applyFont="1"/>
    <xf numFmtId="0" fontId="18" fillId="0" borderId="0" xfId="0" applyFont="1"/>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9" fillId="3" borderId="43" xfId="2" applyFont="1" applyBorder="1" applyAlignment="1">
      <alignment horizontal="center" vertical="center"/>
    </xf>
    <xf numFmtId="0" fontId="9" fillId="3" borderId="44" xfId="2" applyFont="1" applyBorder="1" applyAlignment="1">
      <alignment horizontal="center" vertical="center"/>
    </xf>
    <xf numFmtId="0" fontId="0" fillId="0" borderId="20" xfId="0" applyBorder="1" applyAlignment="1">
      <alignment horizontal="center"/>
    </xf>
    <xf numFmtId="0" fontId="0" fillId="0" borderId="38" xfId="0" applyBorder="1" applyAlignment="1">
      <alignment horizontal="center"/>
    </xf>
    <xf numFmtId="0" fontId="0" fillId="0" borderId="36" xfId="0"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0" borderId="0" xfId="0" applyAlignment="1">
      <alignment horizontal="center"/>
    </xf>
    <xf numFmtId="0" fontId="1" fillId="0" borderId="39" xfId="0" applyFont="1" applyBorder="1" applyAlignment="1">
      <alignment horizontal="center" vertical="center"/>
    </xf>
    <xf numFmtId="0" fontId="1" fillId="0" borderId="38" xfId="0" applyFont="1" applyBorder="1" applyAlignment="1">
      <alignment horizontal="center" vertical="center"/>
    </xf>
    <xf numFmtId="0" fontId="1" fillId="0" borderId="40" xfId="0" applyFont="1" applyBorder="1" applyAlignment="1">
      <alignment horizontal="center"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1" fillId="0" borderId="2" xfId="0" applyFont="1" applyBorder="1" applyAlignment="1">
      <alignment vertical="center"/>
    </xf>
    <xf numFmtId="0" fontId="1" fillId="0" borderId="28" xfId="0" applyFont="1" applyBorder="1" applyAlignment="1">
      <alignment vertical="center"/>
    </xf>
    <xf numFmtId="0" fontId="6" fillId="0" borderId="6" xfId="0" applyFont="1" applyBorder="1" applyAlignment="1">
      <alignment horizontal="left" vertical="center" indent="5"/>
    </xf>
    <xf numFmtId="0" fontId="6" fillId="0" borderId="13" xfId="0" applyFont="1" applyBorder="1" applyAlignment="1">
      <alignment horizontal="left" vertical="center" indent="5"/>
    </xf>
    <xf numFmtId="0" fontId="6" fillId="0" borderId="3" xfId="0" applyFont="1" applyBorder="1" applyAlignment="1">
      <alignment horizontal="left" vertical="center" indent="5"/>
    </xf>
    <xf numFmtId="0" fontId="6" fillId="0" borderId="4" xfId="0" applyFont="1" applyBorder="1" applyAlignment="1">
      <alignment horizontal="left" vertical="center" indent="5"/>
    </xf>
    <xf numFmtId="0" fontId="1" fillId="0" borderId="42" xfId="0" applyFont="1" applyBorder="1" applyAlignment="1">
      <alignment horizontal="center" vertical="center"/>
    </xf>
    <xf numFmtId="0" fontId="19" fillId="0" borderId="3" xfId="0" applyFont="1" applyBorder="1" applyAlignment="1">
      <alignment horizontal="left" vertical="center" indent="5"/>
    </xf>
    <xf numFmtId="0" fontId="19" fillId="0" borderId="83" xfId="0" applyFont="1" applyBorder="1" applyAlignment="1">
      <alignment horizontal="left" vertical="center" indent="5"/>
    </xf>
    <xf numFmtId="0" fontId="19" fillId="0" borderId="0" xfId="0" applyFont="1" applyAlignment="1">
      <alignment horizontal="left" vertical="center" indent="5"/>
    </xf>
    <xf numFmtId="0" fontId="19" fillId="0" borderId="82" xfId="0" applyFont="1" applyBorder="1" applyAlignment="1">
      <alignment horizontal="left" vertical="center" indent="5"/>
    </xf>
    <xf numFmtId="0" fontId="18" fillId="0" borderId="2" xfId="0" applyFont="1" applyBorder="1" applyAlignment="1">
      <alignment vertical="center"/>
    </xf>
    <xf numFmtId="0" fontId="18" fillId="0" borderId="81" xfId="0" applyFont="1" applyBorder="1" applyAlignment="1">
      <alignment vertical="center"/>
    </xf>
    <xf numFmtId="0" fontId="15" fillId="0" borderId="0" xfId="0" applyFont="1"/>
    <xf numFmtId="0" fontId="15" fillId="0" borderId="82" xfId="0" applyFont="1" applyBorder="1"/>
    <xf numFmtId="0" fontId="19" fillId="0" borderId="6" xfId="0" applyFont="1" applyBorder="1" applyAlignment="1">
      <alignment horizontal="left" vertical="center" indent="5"/>
    </xf>
    <xf numFmtId="0" fontId="1" fillId="0" borderId="18" xfId="0" applyFont="1" applyBorder="1" applyAlignment="1">
      <alignment horizontal="center" vertical="center"/>
    </xf>
    <xf numFmtId="0" fontId="0" fillId="3" borderId="43" xfId="2" applyFont="1" applyBorder="1" applyAlignment="1">
      <alignment horizontal="center" vertical="center"/>
    </xf>
    <xf numFmtId="0" fontId="0" fillId="3" borderId="44" xfId="2" applyFont="1" applyBorder="1" applyAlignment="1">
      <alignment horizontal="center" vertical="center"/>
    </xf>
    <xf numFmtId="0" fontId="0" fillId="0" borderId="17" xfId="0"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1" fillId="0" borderId="24" xfId="0" applyFont="1" applyBorder="1" applyAlignment="1">
      <alignment horizontal="center" vertical="center"/>
    </xf>
    <xf numFmtId="0" fontId="1" fillId="0" borderId="23" xfId="0" applyFont="1" applyBorder="1" applyAlignment="1">
      <alignment horizontal="center" vertical="center"/>
    </xf>
    <xf numFmtId="0" fontId="1" fillId="0" borderId="29" xfId="0" applyFont="1" applyBorder="1" applyAlignment="1">
      <alignment horizontal="center" vertical="center"/>
    </xf>
    <xf numFmtId="0" fontId="1" fillId="0" borderId="0" xfId="0" applyFont="1" applyAlignment="1">
      <alignment horizontal="center" vertical="center"/>
    </xf>
    <xf numFmtId="0" fontId="1" fillId="0" borderId="19" xfId="0" applyFont="1" applyBorder="1" applyAlignment="1">
      <alignment horizontal="center" vertical="center"/>
    </xf>
    <xf numFmtId="0" fontId="0" fillId="0" borderId="0" xfId="0" applyAlignment="1">
      <alignment horizontal="center" vertical="center"/>
    </xf>
    <xf numFmtId="0" fontId="1" fillId="0" borderId="17" xfId="0" applyFont="1"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10" fillId="2" borderId="46" xfId="1" applyBorder="1" applyAlignment="1">
      <alignment horizontal="center" vertical="center"/>
    </xf>
    <xf numFmtId="0" fontId="10" fillId="2" borderId="47" xfId="1" applyBorder="1" applyAlignment="1">
      <alignment horizontal="center" vertical="center"/>
    </xf>
    <xf numFmtId="0" fontId="10" fillId="2" borderId="48" xfId="1" applyBorder="1" applyAlignment="1">
      <alignment horizontal="center" vertical="center"/>
    </xf>
    <xf numFmtId="0" fontId="10" fillId="2" borderId="49" xfId="1" applyBorder="1" applyAlignment="1">
      <alignment horizontal="center" vertical="center"/>
    </xf>
    <xf numFmtId="0" fontId="10" fillId="2" borderId="50" xfId="1" applyBorder="1" applyAlignment="1">
      <alignment horizontal="center" vertical="center"/>
    </xf>
    <xf numFmtId="0" fontId="10" fillId="2" borderId="51" xfId="1" applyBorder="1" applyAlignment="1">
      <alignment horizontal="center" vertical="center"/>
    </xf>
    <xf numFmtId="0" fontId="1" fillId="0" borderId="20" xfId="0" applyFont="1" applyBorder="1" applyAlignment="1">
      <alignment horizontal="center" vertical="center"/>
    </xf>
    <xf numFmtId="0" fontId="0" fillId="0" borderId="42" xfId="0" applyBorder="1" applyAlignment="1">
      <alignment horizontal="center"/>
    </xf>
    <xf numFmtId="0" fontId="0" fillId="0" borderId="57" xfId="0" applyBorder="1" applyAlignment="1">
      <alignment horizontal="center"/>
    </xf>
    <xf numFmtId="0" fontId="0" fillId="0" borderId="58" xfId="0" applyBorder="1" applyAlignment="1">
      <alignment horizontal="center"/>
    </xf>
    <xf numFmtId="0" fontId="0" fillId="0" borderId="59" xfId="0" applyBorder="1" applyAlignment="1">
      <alignment horizontal="center"/>
    </xf>
    <xf numFmtId="0" fontId="6" fillId="0" borderId="0" xfId="0" applyFont="1" applyAlignment="1">
      <alignment horizontal="left" vertical="center" indent="5"/>
    </xf>
    <xf numFmtId="0" fontId="1" fillId="0" borderId="2" xfId="0" applyFont="1" applyBorder="1" applyAlignment="1">
      <alignment horizontal="center" vertical="center"/>
    </xf>
    <xf numFmtId="0" fontId="1" fillId="0" borderId="6" xfId="0" applyFont="1" applyBorder="1" applyAlignment="1">
      <alignment horizontal="center" vertical="center"/>
    </xf>
    <xf numFmtId="0" fontId="1" fillId="0" borderId="3" xfId="0" applyFont="1" applyBorder="1" applyAlignment="1">
      <alignment horizontal="center" vertical="center"/>
    </xf>
    <xf numFmtId="0" fontId="1" fillId="0" borderId="0" xfId="0" applyFont="1" applyAlignment="1">
      <alignment vertical="center"/>
    </xf>
    <xf numFmtId="0" fontId="1" fillId="0" borderId="41" xfId="0" applyFont="1" applyBorder="1" applyAlignment="1">
      <alignment horizontal="center" vertical="center"/>
    </xf>
    <xf numFmtId="0" fontId="4" fillId="0" borderId="0" xfId="0" applyFont="1" applyAlignment="1">
      <alignment horizontal="center" vertical="top" wrapText="1"/>
    </xf>
    <xf numFmtId="0" fontId="1" fillId="0" borderId="25" xfId="0" applyFont="1" applyBorder="1" applyAlignment="1">
      <alignment horizontal="center" vertical="center"/>
    </xf>
    <xf numFmtId="0" fontId="1" fillId="0" borderId="33" xfId="0" applyFont="1" applyBorder="1" applyAlignment="1">
      <alignment horizontal="center" vertical="center"/>
    </xf>
    <xf numFmtId="0" fontId="1" fillId="0" borderId="34" xfId="0" applyFont="1" applyBorder="1" applyAlignment="1">
      <alignment horizontal="center" vertical="center"/>
    </xf>
    <xf numFmtId="0" fontId="14" fillId="4" borderId="69" xfId="0" applyFont="1" applyFill="1" applyBorder="1" applyAlignment="1">
      <alignment horizontal="center" vertical="center"/>
    </xf>
    <xf numFmtId="0" fontId="14" fillId="4" borderId="41" xfId="0" applyFont="1" applyFill="1" applyBorder="1" applyAlignment="1">
      <alignment horizontal="center" vertical="center"/>
    </xf>
    <xf numFmtId="0" fontId="0" fillId="0" borderId="3" xfId="0" applyBorder="1" applyAlignment="1">
      <alignment vertical="center"/>
    </xf>
    <xf numFmtId="0" fontId="0" fillId="0" borderId="1" xfId="0" applyBorder="1" applyAlignment="1">
      <alignment vertical="center"/>
    </xf>
    <xf numFmtId="0" fontId="0" fillId="0" borderId="4" xfId="0" applyBorder="1" applyAlignment="1">
      <alignment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1" fillId="0" borderId="74" xfId="0" applyFont="1" applyBorder="1" applyAlignment="1">
      <alignment vertical="center"/>
    </xf>
    <xf numFmtId="0" fontId="0" fillId="0" borderId="6" xfId="0" applyBorder="1" applyAlignment="1">
      <alignment vertical="center"/>
    </xf>
    <xf numFmtId="0" fontId="0" fillId="0" borderId="0" xfId="0" applyAlignment="1">
      <alignment vertical="center"/>
    </xf>
    <xf numFmtId="0" fontId="0" fillId="0" borderId="13" xfId="0" applyBorder="1" applyAlignment="1">
      <alignment vertical="center"/>
    </xf>
    <xf numFmtId="0" fontId="9" fillId="4" borderId="15" xfId="2" applyNumberFormat="1" applyFont="1" applyFill="1" applyBorder="1" applyAlignment="1" applyProtection="1">
      <alignment horizontal="center" vertical="center"/>
      <protection locked="0"/>
    </xf>
    <xf numFmtId="0" fontId="9" fillId="4" borderId="16" xfId="2" applyNumberFormat="1" applyFont="1" applyFill="1" applyBorder="1" applyAlignment="1" applyProtection="1">
      <alignment horizontal="center" vertical="center"/>
      <protection locked="0"/>
    </xf>
    <xf numFmtId="0" fontId="2" fillId="0" borderId="69" xfId="0" applyFont="1" applyBorder="1" applyAlignment="1">
      <alignment horizontal="center" vertical="center"/>
    </xf>
    <xf numFmtId="0" fontId="2" fillId="0" borderId="34" xfId="0" applyFont="1" applyBorder="1" applyAlignment="1">
      <alignment horizontal="center" vertical="center"/>
    </xf>
  </cellXfs>
  <cellStyles count="4">
    <cellStyle name="Calculation" xfId="1" builtinId="22"/>
    <cellStyle name="Hyperlink" xfId="3" builtinId="8"/>
    <cellStyle name="Normal" xfId="0" builtinId="0"/>
    <cellStyle name="Note" xfId="2" builtinId="1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oneCellAnchor>
    <xdr:from>
      <xdr:col>0</xdr:col>
      <xdr:colOff>800100</xdr:colOff>
      <xdr:row>17</xdr:row>
      <xdr:rowOff>9525</xdr:rowOff>
    </xdr:from>
    <xdr:ext cx="184731" cy="264560"/>
    <xdr:sp macro="" textlink="">
      <xdr:nvSpPr>
        <xdr:cNvPr id="2" name="TextBox 1">
          <a:extLst>
            <a:ext uri="{FF2B5EF4-FFF2-40B4-BE49-F238E27FC236}">
              <a16:creationId xmlns:a16="http://schemas.microsoft.com/office/drawing/2014/main" id="{7C271D74-F9CC-4356-BD80-58AE49C271D3}"/>
            </a:ext>
          </a:extLst>
        </xdr:cNvPr>
        <xdr:cNvSpPr txBox="1"/>
      </xdr:nvSpPr>
      <xdr:spPr>
        <a:xfrm>
          <a:off x="800100" y="318706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800100</xdr:colOff>
      <xdr:row>17</xdr:row>
      <xdr:rowOff>9525</xdr:rowOff>
    </xdr:from>
    <xdr:ext cx="184731" cy="264560"/>
    <xdr:sp macro="" textlink="">
      <xdr:nvSpPr>
        <xdr:cNvPr id="2" name="TextBox 1">
          <a:extLst>
            <a:ext uri="{FF2B5EF4-FFF2-40B4-BE49-F238E27FC236}">
              <a16:creationId xmlns:a16="http://schemas.microsoft.com/office/drawing/2014/main" id="{A3390435-1BB0-46DE-B3A9-063FF8DB7717}"/>
            </a:ext>
          </a:extLst>
        </xdr:cNvPr>
        <xdr:cNvSpPr txBox="1"/>
      </xdr:nvSpPr>
      <xdr:spPr>
        <a:xfrm>
          <a:off x="800100" y="3171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800100</xdr:colOff>
      <xdr:row>17</xdr:row>
      <xdr:rowOff>9525</xdr:rowOff>
    </xdr:from>
    <xdr:ext cx="184731" cy="264560"/>
    <xdr:sp macro="" textlink="">
      <xdr:nvSpPr>
        <xdr:cNvPr id="2" name="TextBox 1">
          <a:extLst>
            <a:ext uri="{FF2B5EF4-FFF2-40B4-BE49-F238E27FC236}">
              <a16:creationId xmlns:a16="http://schemas.microsoft.com/office/drawing/2014/main" id="{A2357E04-34D8-4291-AD96-F5AC334F6BCF}"/>
            </a:ext>
          </a:extLst>
        </xdr:cNvPr>
        <xdr:cNvSpPr txBox="1"/>
      </xdr:nvSpPr>
      <xdr:spPr>
        <a:xfrm>
          <a:off x="800100" y="3314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800100</xdr:colOff>
      <xdr:row>17</xdr:row>
      <xdr:rowOff>9525</xdr:rowOff>
    </xdr:from>
    <xdr:ext cx="184731" cy="264560"/>
    <xdr:sp macro="" textlink="">
      <xdr:nvSpPr>
        <xdr:cNvPr id="2" name="TextBox 1">
          <a:extLst>
            <a:ext uri="{FF2B5EF4-FFF2-40B4-BE49-F238E27FC236}">
              <a16:creationId xmlns:a16="http://schemas.microsoft.com/office/drawing/2014/main" id="{AE2D7253-DC78-47FE-8665-9B7DB84B6BBD}"/>
            </a:ext>
          </a:extLst>
        </xdr:cNvPr>
        <xdr:cNvSpPr txBox="1"/>
      </xdr:nvSpPr>
      <xdr:spPr>
        <a:xfrm>
          <a:off x="800100" y="3324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800100</xdr:colOff>
      <xdr:row>17</xdr:row>
      <xdr:rowOff>9525</xdr:rowOff>
    </xdr:from>
    <xdr:ext cx="184731" cy="264560"/>
    <xdr:sp macro="" textlink="">
      <xdr:nvSpPr>
        <xdr:cNvPr id="2" name="TextBox 1">
          <a:extLst>
            <a:ext uri="{FF2B5EF4-FFF2-40B4-BE49-F238E27FC236}">
              <a16:creationId xmlns:a16="http://schemas.microsoft.com/office/drawing/2014/main" id="{F27007BB-BAB9-4E72-B01A-2BDFEF101A91}"/>
            </a:ext>
          </a:extLst>
        </xdr:cNvPr>
        <xdr:cNvSpPr txBox="1"/>
      </xdr:nvSpPr>
      <xdr:spPr>
        <a:xfrm>
          <a:off x="800100" y="31289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0</xdr:col>
      <xdr:colOff>800100</xdr:colOff>
      <xdr:row>17</xdr:row>
      <xdr:rowOff>9525</xdr:rowOff>
    </xdr:from>
    <xdr:ext cx="184731" cy="264560"/>
    <xdr:sp macro="" textlink="">
      <xdr:nvSpPr>
        <xdr:cNvPr id="2" name="TextBox 1">
          <a:extLst>
            <a:ext uri="{FF2B5EF4-FFF2-40B4-BE49-F238E27FC236}">
              <a16:creationId xmlns:a16="http://schemas.microsoft.com/office/drawing/2014/main" id="{C49D5F5F-1D9F-4666-8C99-3A67A6417D94}"/>
            </a:ext>
          </a:extLst>
        </xdr:cNvPr>
        <xdr:cNvSpPr txBox="1"/>
      </xdr:nvSpPr>
      <xdr:spPr>
        <a:xfrm>
          <a:off x="800100" y="3324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800100</xdr:colOff>
      <xdr:row>31</xdr:row>
      <xdr:rowOff>9525</xdr:rowOff>
    </xdr:from>
    <xdr:ext cx="184731" cy="264560"/>
    <xdr:sp macro="" textlink="">
      <xdr:nvSpPr>
        <xdr:cNvPr id="2" name="TextBox 1">
          <a:extLst>
            <a:ext uri="{FF2B5EF4-FFF2-40B4-BE49-F238E27FC236}">
              <a16:creationId xmlns:a16="http://schemas.microsoft.com/office/drawing/2014/main" id="{29C57184-95AC-4430-8687-854A81567B12}"/>
            </a:ext>
          </a:extLst>
        </xdr:cNvPr>
        <xdr:cNvSpPr txBox="1"/>
      </xdr:nvSpPr>
      <xdr:spPr>
        <a:xfrm>
          <a:off x="800100" y="3505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800100</xdr:colOff>
      <xdr:row>39</xdr:row>
      <xdr:rowOff>9525</xdr:rowOff>
    </xdr:from>
    <xdr:ext cx="184731" cy="264560"/>
    <xdr:sp macro="" textlink="">
      <xdr:nvSpPr>
        <xdr:cNvPr id="3" name="TextBox 1">
          <a:extLst>
            <a:ext uri="{FF2B5EF4-FFF2-40B4-BE49-F238E27FC236}">
              <a16:creationId xmlns:a16="http://schemas.microsoft.com/office/drawing/2014/main" id="{466A13CC-0B62-414E-9F7F-B8B8A9ED7ADC}"/>
            </a:ext>
          </a:extLst>
        </xdr:cNvPr>
        <xdr:cNvSpPr txBox="1"/>
      </xdr:nvSpPr>
      <xdr:spPr>
        <a:xfrm>
          <a:off x="800100" y="5048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0</xdr:col>
      <xdr:colOff>800100</xdr:colOff>
      <xdr:row>18</xdr:row>
      <xdr:rowOff>9525</xdr:rowOff>
    </xdr:from>
    <xdr:ext cx="184731" cy="264560"/>
    <xdr:sp macro="" textlink="">
      <xdr:nvSpPr>
        <xdr:cNvPr id="2" name="TextBox 1">
          <a:extLst>
            <a:ext uri="{FF2B5EF4-FFF2-40B4-BE49-F238E27FC236}">
              <a16:creationId xmlns:a16="http://schemas.microsoft.com/office/drawing/2014/main" id="{8B35D4B4-CE19-441F-87DB-82B3D28A3551}"/>
            </a:ext>
          </a:extLst>
        </xdr:cNvPr>
        <xdr:cNvSpPr txBox="1"/>
      </xdr:nvSpPr>
      <xdr:spPr>
        <a:xfrm>
          <a:off x="800100" y="3324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800100</xdr:colOff>
      <xdr:row>26</xdr:row>
      <xdr:rowOff>9525</xdr:rowOff>
    </xdr:from>
    <xdr:ext cx="184731" cy="264560"/>
    <xdr:sp macro="" textlink="">
      <xdr:nvSpPr>
        <xdr:cNvPr id="3" name="TextBox 1">
          <a:extLst>
            <a:ext uri="{FF2B5EF4-FFF2-40B4-BE49-F238E27FC236}">
              <a16:creationId xmlns:a16="http://schemas.microsoft.com/office/drawing/2014/main" id="{805FB510-F16C-4D11-97B3-006C041C462A}"/>
            </a:ext>
          </a:extLst>
        </xdr:cNvPr>
        <xdr:cNvSpPr txBox="1"/>
      </xdr:nvSpPr>
      <xdr:spPr>
        <a:xfrm>
          <a:off x="800100" y="3505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0</xdr:col>
      <xdr:colOff>800100</xdr:colOff>
      <xdr:row>15</xdr:row>
      <xdr:rowOff>9525</xdr:rowOff>
    </xdr:from>
    <xdr:ext cx="184731" cy="264560"/>
    <xdr:sp macro="" textlink="">
      <xdr:nvSpPr>
        <xdr:cNvPr id="2" name="TextBox 1">
          <a:extLst>
            <a:ext uri="{FF2B5EF4-FFF2-40B4-BE49-F238E27FC236}">
              <a16:creationId xmlns:a16="http://schemas.microsoft.com/office/drawing/2014/main" id="{CD6A2DA1-96C0-4094-8D82-577F59E9FB3B}"/>
            </a:ext>
          </a:extLst>
        </xdr:cNvPr>
        <xdr:cNvSpPr txBox="1"/>
      </xdr:nvSpPr>
      <xdr:spPr>
        <a:xfrm>
          <a:off x="800100" y="316039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1DB69-6A68-495B-95F2-27DD75C141D2}">
  <sheetPr codeName="Sheet11"/>
  <dimension ref="A1:Q96"/>
  <sheetViews>
    <sheetView workbookViewId="0">
      <selection activeCell="C5" sqref="C5"/>
    </sheetView>
  </sheetViews>
  <sheetFormatPr defaultRowHeight="14.4"/>
  <cols>
    <col min="1" max="1" width="38.33203125" bestFit="1" customWidth="1"/>
    <col min="2" max="2" width="21.44140625" style="1" customWidth="1"/>
    <col min="3" max="3" width="12.88671875" style="1" customWidth="1"/>
    <col min="4" max="4" width="24.109375" bestFit="1" customWidth="1"/>
    <col min="5" max="5" width="30.6640625" customWidth="1"/>
    <col min="6" max="6" width="41.44140625" customWidth="1"/>
    <col min="7" max="8" width="10" customWidth="1"/>
    <col min="13" max="13" width="48.109375" customWidth="1"/>
    <col min="14" max="14" width="29.33203125" customWidth="1"/>
    <col min="15" max="15" width="27.33203125" customWidth="1"/>
  </cols>
  <sheetData>
    <row r="1" spans="1:17" ht="15" thickBot="1"/>
    <row r="2" spans="1:17" ht="15" thickBot="1">
      <c r="A2" s="123" t="s">
        <v>176</v>
      </c>
      <c r="B2" s="125" t="s">
        <v>528</v>
      </c>
    </row>
    <row r="3" spans="1:17" ht="15" thickBot="1">
      <c r="A3" s="124"/>
      <c r="B3" s="126"/>
      <c r="E3" s="127"/>
      <c r="F3" s="129" t="s">
        <v>2</v>
      </c>
      <c r="G3" s="130"/>
      <c r="H3" s="131"/>
      <c r="I3" s="1"/>
      <c r="N3" s="132" t="s">
        <v>3</v>
      </c>
      <c r="O3" s="132"/>
      <c r="P3" s="132"/>
      <c r="Q3" s="132"/>
    </row>
    <row r="4" spans="1:17" ht="15" thickBot="1">
      <c r="A4" s="11"/>
      <c r="B4" s="11"/>
      <c r="E4" s="128"/>
      <c r="F4" s="34" t="s">
        <v>4</v>
      </c>
      <c r="G4" s="31" t="s">
        <v>5</v>
      </c>
      <c r="H4" s="33" t="s">
        <v>6</v>
      </c>
      <c r="Q4" t="s">
        <v>7</v>
      </c>
    </row>
    <row r="5" spans="1:17" ht="16.2" thickBot="1">
      <c r="A5" s="7" t="s">
        <v>8</v>
      </c>
      <c r="B5" s="7" t="s">
        <v>9</v>
      </c>
      <c r="E5" s="133" t="s">
        <v>178</v>
      </c>
      <c r="F5" s="115"/>
      <c r="G5" s="10"/>
      <c r="H5" s="25"/>
      <c r="M5" s="136" t="s">
        <v>12</v>
      </c>
      <c r="N5" s="15" t="s">
        <v>178</v>
      </c>
      <c r="O5" t="s">
        <v>13</v>
      </c>
      <c r="P5" t="s">
        <v>14</v>
      </c>
      <c r="Q5" s="3">
        <v>0</v>
      </c>
    </row>
    <row r="6" spans="1:17">
      <c r="A6" s="8" t="s">
        <v>178</v>
      </c>
      <c r="B6" s="36">
        <v>0</v>
      </c>
      <c r="E6" s="134"/>
      <c r="F6" s="115" t="str">
        <f t="shared" ref="F6:F36" si="0">$B$2&amp;"-"&amp;O6</f>
        <v>snapp-Trigger</v>
      </c>
      <c r="G6" s="11" t="s">
        <v>11</v>
      </c>
      <c r="H6" s="4" t="str">
        <f t="shared" ref="H6" si="1">P6&amp;$B$6&amp;"."&amp;Q6</f>
        <v>%Q0.1</v>
      </c>
      <c r="M6" s="137"/>
      <c r="N6" s="15"/>
      <c r="O6" t="s">
        <v>179</v>
      </c>
      <c r="P6" t="s">
        <v>14</v>
      </c>
      <c r="Q6" s="3">
        <v>1</v>
      </c>
    </row>
    <row r="7" spans="1:17">
      <c r="A7" s="8" t="s">
        <v>180</v>
      </c>
      <c r="B7" s="37">
        <v>0</v>
      </c>
      <c r="E7" s="134"/>
      <c r="F7" s="115"/>
      <c r="G7" s="11"/>
      <c r="H7" s="4"/>
      <c r="M7" s="137"/>
      <c r="O7" t="s">
        <v>181</v>
      </c>
      <c r="P7" t="s">
        <v>14</v>
      </c>
      <c r="Q7">
        <v>2</v>
      </c>
    </row>
    <row r="8" spans="1:17">
      <c r="A8" s="8" t="s">
        <v>182</v>
      </c>
      <c r="B8" s="37">
        <v>0</v>
      </c>
      <c r="E8" s="135"/>
      <c r="F8" s="116"/>
      <c r="G8" s="12"/>
      <c r="H8" s="20"/>
      <c r="M8" s="137"/>
      <c r="N8" s="15"/>
      <c r="O8" t="s">
        <v>514</v>
      </c>
      <c r="P8" t="s">
        <v>14</v>
      </c>
      <c r="Q8" s="3">
        <v>7</v>
      </c>
    </row>
    <row r="9" spans="1:17">
      <c r="A9" s="8" t="s">
        <v>184</v>
      </c>
      <c r="B9" s="37">
        <v>0</v>
      </c>
      <c r="E9" s="133" t="s">
        <v>180</v>
      </c>
      <c r="F9" s="115" t="str">
        <f t="shared" si="0"/>
        <v>snapp-TriggerReady</v>
      </c>
      <c r="G9" s="10" t="s">
        <v>11</v>
      </c>
      <c r="H9" s="25" t="str">
        <f t="shared" ref="H9:H16" si="2">P9&amp;$B$7&amp;"."&amp;Q9</f>
        <v>%I0.0</v>
      </c>
      <c r="M9" s="137"/>
      <c r="N9" s="87" t="s">
        <v>180</v>
      </c>
      <c r="O9" t="s">
        <v>185</v>
      </c>
      <c r="P9" t="s">
        <v>80</v>
      </c>
      <c r="Q9" s="3">
        <v>0</v>
      </c>
    </row>
    <row r="10" spans="1:17">
      <c r="A10" s="8" t="s">
        <v>516</v>
      </c>
      <c r="B10" s="37">
        <v>0</v>
      </c>
      <c r="E10" s="134"/>
      <c r="F10" s="115" t="str">
        <f t="shared" si="0"/>
        <v>snapp-TriggerAck</v>
      </c>
      <c r="G10" s="11" t="s">
        <v>11</v>
      </c>
      <c r="H10" s="4" t="str">
        <f t="shared" si="2"/>
        <v>%I0.1</v>
      </c>
      <c r="M10" s="137"/>
      <c r="N10" s="87"/>
      <c r="O10" t="s">
        <v>187</v>
      </c>
      <c r="P10" t="s">
        <v>80</v>
      </c>
      <c r="Q10" s="3">
        <v>1</v>
      </c>
    </row>
    <row r="11" spans="1:17">
      <c r="A11" s="8" t="s">
        <v>517</v>
      </c>
      <c r="B11" s="37">
        <v>0</v>
      </c>
      <c r="E11" s="134"/>
      <c r="F11" s="115"/>
      <c r="G11" s="11"/>
      <c r="H11" s="4"/>
      <c r="M11" s="137"/>
      <c r="N11" s="87"/>
      <c r="O11" t="s">
        <v>189</v>
      </c>
      <c r="P11" t="s">
        <v>80</v>
      </c>
      <c r="Q11" s="3">
        <v>2</v>
      </c>
    </row>
    <row r="12" spans="1:17">
      <c r="A12" s="8" t="s">
        <v>276</v>
      </c>
      <c r="B12" s="37">
        <v>0</v>
      </c>
      <c r="E12" s="134"/>
      <c r="F12" s="115" t="str">
        <f t="shared" si="0"/>
        <v>snapp-AcquisitionError</v>
      </c>
      <c r="G12" s="11" t="s">
        <v>11</v>
      </c>
      <c r="H12" s="4" t="str">
        <f t="shared" si="2"/>
        <v>%I0.3</v>
      </c>
      <c r="M12" s="137"/>
      <c r="N12" s="87"/>
      <c r="O12" t="s">
        <v>191</v>
      </c>
      <c r="P12" t="s">
        <v>80</v>
      </c>
      <c r="Q12" s="3">
        <v>3</v>
      </c>
    </row>
    <row r="13" spans="1:17">
      <c r="A13" s="8" t="s">
        <v>192</v>
      </c>
      <c r="B13" s="37">
        <v>0</v>
      </c>
      <c r="E13" s="134"/>
      <c r="F13" s="115"/>
      <c r="G13" s="11"/>
      <c r="H13" s="4"/>
      <c r="M13" s="137"/>
      <c r="N13" s="87"/>
      <c r="O13" t="s">
        <v>520</v>
      </c>
      <c r="P13" t="s">
        <v>80</v>
      </c>
      <c r="Q13" s="3">
        <v>4</v>
      </c>
    </row>
    <row r="14" spans="1:17">
      <c r="A14" s="8" t="s">
        <v>518</v>
      </c>
      <c r="B14" s="37">
        <v>0</v>
      </c>
      <c r="E14" s="134"/>
      <c r="F14" s="115"/>
      <c r="G14" s="11"/>
      <c r="H14" s="4"/>
      <c r="M14" s="137"/>
      <c r="N14" s="87"/>
      <c r="O14" t="s">
        <v>520</v>
      </c>
      <c r="P14" t="s">
        <v>80</v>
      </c>
      <c r="Q14" s="3">
        <v>5</v>
      </c>
    </row>
    <row r="15" spans="1:17" ht="15" thickBot="1">
      <c r="A15" s="9" t="s">
        <v>519</v>
      </c>
      <c r="B15" s="38">
        <v>0</v>
      </c>
      <c r="E15" s="134"/>
      <c r="F15" s="116"/>
      <c r="G15" s="11"/>
      <c r="H15" s="4"/>
      <c r="M15" s="137"/>
      <c r="N15" s="87"/>
      <c r="O15" t="s">
        <v>520</v>
      </c>
      <c r="P15" t="s">
        <v>80</v>
      </c>
      <c r="Q15" s="3">
        <v>6</v>
      </c>
    </row>
    <row r="16" spans="1:17" ht="15" thickBot="1">
      <c r="E16" s="134"/>
      <c r="F16" s="116" t="str">
        <f t="shared" si="0"/>
        <v>snapp-Online</v>
      </c>
      <c r="G16" s="11" t="s">
        <v>11</v>
      </c>
      <c r="H16" s="4" t="str">
        <f t="shared" si="2"/>
        <v>%I0.7</v>
      </c>
      <c r="M16" s="137"/>
      <c r="N16" s="87"/>
      <c r="O16" t="s">
        <v>161</v>
      </c>
      <c r="P16" t="s">
        <v>80</v>
      </c>
      <c r="Q16" s="3">
        <v>7</v>
      </c>
    </row>
    <row r="17" spans="1:17">
      <c r="A17" s="138" t="s">
        <v>40</v>
      </c>
      <c r="B17" s="139"/>
      <c r="E17" s="135"/>
      <c r="F17" s="115" t="str">
        <f t="shared" si="0"/>
        <v>snapp-AcquisitionID</v>
      </c>
      <c r="G17" s="12" t="s">
        <v>22</v>
      </c>
      <c r="H17" s="20" t="str">
        <f>P17&amp;Q17</f>
        <v>%IW2</v>
      </c>
      <c r="M17" s="137"/>
      <c r="N17" s="87"/>
      <c r="O17" t="s">
        <v>196</v>
      </c>
      <c r="P17" t="s">
        <v>89</v>
      </c>
      <c r="Q17" s="3">
        <f>SUM(B7+2)</f>
        <v>2</v>
      </c>
    </row>
    <row r="18" spans="1:17">
      <c r="A18" s="140" t="s">
        <v>42</v>
      </c>
      <c r="B18" s="141"/>
      <c r="E18" s="133" t="s">
        <v>182</v>
      </c>
      <c r="F18" s="115"/>
      <c r="G18" s="10"/>
      <c r="H18" s="25"/>
      <c r="M18" s="137"/>
      <c r="N18" s="87" t="s">
        <v>182</v>
      </c>
      <c r="O18" t="s">
        <v>16</v>
      </c>
      <c r="P18" t="s">
        <v>14</v>
      </c>
      <c r="Q18" s="3">
        <v>0</v>
      </c>
    </row>
    <row r="19" spans="1:17">
      <c r="A19" s="140" t="s">
        <v>197</v>
      </c>
      <c r="B19" s="141"/>
      <c r="E19" s="134"/>
      <c r="F19" s="115" t="str">
        <f t="shared" si="0"/>
        <v>snapp-InspectionResultsAck</v>
      </c>
      <c r="G19" s="11" t="s">
        <v>11</v>
      </c>
      <c r="H19" s="4" t="str">
        <f>P19&amp;$B$8&amp;"."&amp;Q19</f>
        <v>%Q0.1</v>
      </c>
      <c r="M19" s="137"/>
      <c r="N19" s="87"/>
      <c r="O19" t="s">
        <v>198</v>
      </c>
      <c r="P19" t="s">
        <v>14</v>
      </c>
      <c r="Q19" s="3">
        <v>1</v>
      </c>
    </row>
    <row r="20" spans="1:17">
      <c r="A20" s="140" t="s">
        <v>199</v>
      </c>
      <c r="B20" s="141"/>
      <c r="E20" s="134"/>
      <c r="F20" s="115"/>
      <c r="G20" s="11"/>
      <c r="H20" s="4"/>
      <c r="M20" s="137"/>
      <c r="N20" s="87"/>
      <c r="O20" t="s">
        <v>200</v>
      </c>
      <c r="P20" t="s">
        <v>14</v>
      </c>
      <c r="Q20" s="3">
        <v>2</v>
      </c>
    </row>
    <row r="21" spans="1:17">
      <c r="A21" s="140" t="s">
        <v>49</v>
      </c>
      <c r="B21" s="141"/>
      <c r="E21" s="134"/>
      <c r="F21" s="115" t="str">
        <f t="shared" si="0"/>
        <v>snapp-ExecuteCommand/JobLoad</v>
      </c>
      <c r="G21" s="11" t="s">
        <v>11</v>
      </c>
      <c r="H21" s="4" t="str">
        <f>P21&amp;$B$8&amp;"."&amp;Q21</f>
        <v>%Q0.3</v>
      </c>
      <c r="M21" s="137"/>
      <c r="N21" s="87"/>
      <c r="O21" t="s">
        <v>201</v>
      </c>
      <c r="P21" t="s">
        <v>14</v>
      </c>
      <c r="Q21" s="3">
        <v>3</v>
      </c>
    </row>
    <row r="22" spans="1:17">
      <c r="A22" s="140" t="s">
        <v>51</v>
      </c>
      <c r="B22" s="141"/>
      <c r="E22" s="135"/>
      <c r="F22" s="115" t="str">
        <f t="shared" si="0"/>
        <v>snapp-ClearError</v>
      </c>
      <c r="G22" s="12" t="s">
        <v>11</v>
      </c>
      <c r="H22" s="20" t="str">
        <f>P22&amp;$B$8&amp;"."&amp;Q22</f>
        <v>%Q0.7</v>
      </c>
      <c r="M22" s="137"/>
      <c r="O22" t="s">
        <v>20</v>
      </c>
      <c r="P22" t="s">
        <v>14</v>
      </c>
      <c r="Q22" s="3">
        <v>7</v>
      </c>
    </row>
    <row r="23" spans="1:17" ht="15" thickBot="1">
      <c r="A23" s="142" t="s">
        <v>53</v>
      </c>
      <c r="B23" s="143"/>
      <c r="E23" s="133" t="s">
        <v>184</v>
      </c>
      <c r="F23" s="115" t="str">
        <f t="shared" si="0"/>
        <v>snapp-Reserved</v>
      </c>
      <c r="G23" s="10" t="s">
        <v>11</v>
      </c>
      <c r="H23" s="25" t="str">
        <f t="shared" ref="H23:H29" si="3">P23&amp;$B$9&amp;"."&amp;Q23</f>
        <v>%I0.0</v>
      </c>
      <c r="M23" s="137"/>
      <c r="N23" s="87" t="s">
        <v>184</v>
      </c>
      <c r="O23" t="s">
        <v>193</v>
      </c>
      <c r="P23" t="s">
        <v>80</v>
      </c>
      <c r="Q23" s="3">
        <v>0</v>
      </c>
    </row>
    <row r="24" spans="1:17" ht="15" thickBot="1">
      <c r="E24" s="134"/>
      <c r="F24" s="115" t="str">
        <f t="shared" si="0"/>
        <v>snapp-InspectionCompleted</v>
      </c>
      <c r="G24" s="11" t="s">
        <v>11</v>
      </c>
      <c r="H24" s="4" t="str">
        <f t="shared" si="3"/>
        <v>%I0.1</v>
      </c>
      <c r="M24" s="137"/>
      <c r="N24" s="87"/>
      <c r="O24" t="s">
        <v>203</v>
      </c>
      <c r="P24" t="s">
        <v>80</v>
      </c>
      <c r="Q24" s="3">
        <v>1</v>
      </c>
    </row>
    <row r="25" spans="1:17">
      <c r="A25" s="149" t="s">
        <v>56</v>
      </c>
      <c r="B25" s="150"/>
      <c r="E25" s="134"/>
      <c r="F25" s="115"/>
      <c r="G25" s="11"/>
      <c r="H25" s="4"/>
      <c r="M25" s="137"/>
      <c r="N25" s="87"/>
      <c r="O25" t="s">
        <v>204</v>
      </c>
      <c r="P25" t="s">
        <v>80</v>
      </c>
      <c r="Q25" s="3">
        <v>2</v>
      </c>
    </row>
    <row r="26" spans="1:17">
      <c r="A26" s="151" t="e" vm="1">
        <v>#VALUE!</v>
      </c>
      <c r="B26" s="152"/>
      <c r="E26" s="134"/>
      <c r="F26" s="115" t="str">
        <f t="shared" si="0"/>
        <v>snapp-ResultsValid</v>
      </c>
      <c r="G26" s="11" t="s">
        <v>11</v>
      </c>
      <c r="H26" s="4" t="str">
        <f t="shared" si="3"/>
        <v>%I0.3</v>
      </c>
      <c r="M26" s="137"/>
      <c r="N26" s="87"/>
      <c r="O26" t="s">
        <v>205</v>
      </c>
      <c r="P26" t="s">
        <v>80</v>
      </c>
      <c r="Q26" s="3">
        <v>3</v>
      </c>
    </row>
    <row r="27" spans="1:17">
      <c r="A27" s="147" t="s">
        <v>529</v>
      </c>
      <c r="B27" s="148"/>
      <c r="E27" s="134"/>
      <c r="F27" s="115" t="str">
        <f t="shared" si="0"/>
        <v>snapp-CommandExecuting</v>
      </c>
      <c r="G27" s="11" t="s">
        <v>11</v>
      </c>
      <c r="H27" s="4" t="str">
        <f t="shared" si="3"/>
        <v>%I0.4</v>
      </c>
      <c r="M27" s="137"/>
      <c r="N27" s="87"/>
      <c r="O27" t="s">
        <v>206</v>
      </c>
      <c r="P27" t="s">
        <v>80</v>
      </c>
      <c r="Q27" s="3">
        <v>4</v>
      </c>
    </row>
    <row r="28" spans="1:17">
      <c r="A28" s="153" t="s">
        <v>530</v>
      </c>
      <c r="B28" s="148"/>
      <c r="E28" s="134"/>
      <c r="F28" s="115" t="str">
        <f t="shared" si="0"/>
        <v>snapp-CommandCompleted</v>
      </c>
      <c r="G28" s="11" t="s">
        <v>11</v>
      </c>
      <c r="H28" s="4" t="str">
        <f t="shared" si="3"/>
        <v>%I0.5</v>
      </c>
      <c r="M28" s="137"/>
      <c r="N28" s="87"/>
      <c r="O28" t="s">
        <v>207</v>
      </c>
      <c r="P28" t="s">
        <v>80</v>
      </c>
      <c r="Q28" s="3">
        <v>5</v>
      </c>
    </row>
    <row r="29" spans="1:17">
      <c r="A29" s="153" t="s">
        <v>531</v>
      </c>
      <c r="B29" s="148"/>
      <c r="E29" s="134"/>
      <c r="F29" s="115" t="str">
        <f t="shared" si="0"/>
        <v>snapp-CommandFailed</v>
      </c>
      <c r="G29" s="11" t="s">
        <v>11</v>
      </c>
      <c r="H29" s="4" t="str">
        <f t="shared" si="3"/>
        <v>%I0.6</v>
      </c>
      <c r="M29" s="137"/>
      <c r="N29" s="87"/>
      <c r="O29" t="s">
        <v>208</v>
      </c>
      <c r="P29" t="s">
        <v>80</v>
      </c>
      <c r="Q29" s="3">
        <v>6</v>
      </c>
    </row>
    <row r="30" spans="1:17" ht="15" thickBot="1">
      <c r="A30" s="145" t="s">
        <v>532</v>
      </c>
      <c r="B30" s="146"/>
      <c r="E30" s="134"/>
      <c r="F30" s="115"/>
      <c r="G30" s="11"/>
      <c r="H30" s="4"/>
      <c r="M30" s="137"/>
      <c r="N30" s="87"/>
      <c r="O30" t="s">
        <v>209</v>
      </c>
      <c r="P30" t="s">
        <v>80</v>
      </c>
      <c r="Q30" s="3">
        <v>7</v>
      </c>
    </row>
    <row r="31" spans="1:17">
      <c r="A31" s="121"/>
      <c r="B31" s="121"/>
      <c r="E31" s="134"/>
      <c r="F31" s="115" t="str">
        <f t="shared" si="0"/>
        <v>snapp-Inspection Passed</v>
      </c>
      <c r="G31" s="11" t="s">
        <v>11</v>
      </c>
      <c r="H31" s="4" t="str">
        <f>P31&amp;SUM($B$9+1)&amp;"."&amp;Q31</f>
        <v>%I1.0</v>
      </c>
      <c r="M31" s="137"/>
      <c r="N31" s="87"/>
      <c r="O31" t="s">
        <v>524</v>
      </c>
      <c r="P31" t="s">
        <v>80</v>
      </c>
      <c r="Q31" s="3">
        <v>0</v>
      </c>
    </row>
    <row r="32" spans="1:17">
      <c r="A32" s="122" t="s">
        <v>67</v>
      </c>
      <c r="B32" s="121"/>
      <c r="E32" s="134"/>
      <c r="F32" s="115"/>
      <c r="G32" s="11"/>
      <c r="H32" s="4"/>
      <c r="M32" s="137"/>
      <c r="N32" s="87"/>
      <c r="O32" t="s">
        <v>193</v>
      </c>
      <c r="P32" t="s">
        <v>80</v>
      </c>
      <c r="Q32" s="3">
        <v>1</v>
      </c>
    </row>
    <row r="33" spans="1:17">
      <c r="E33" s="134"/>
      <c r="F33" s="115" t="str">
        <f t="shared" si="0"/>
        <v>snapp-Error</v>
      </c>
      <c r="G33" s="11" t="s">
        <v>11</v>
      </c>
      <c r="H33" s="4" t="str">
        <f t="shared" ref="H33" si="4">P33&amp;SUM($B$9+1)&amp;"."&amp;Q33</f>
        <v>%I1.7</v>
      </c>
      <c r="M33" s="137"/>
      <c r="O33" t="s">
        <v>86</v>
      </c>
      <c r="P33" t="s">
        <v>80</v>
      </c>
      <c r="Q33" s="3">
        <v>7</v>
      </c>
    </row>
    <row r="34" spans="1:17">
      <c r="A34" s="54" t="str">
        <f>F16</f>
        <v>snapp-Online</v>
      </c>
      <c r="B34" s="118" t="s">
        <v>11</v>
      </c>
      <c r="C34" s="118" t="str">
        <f>H16</f>
        <v>%I0.7</v>
      </c>
      <c r="E34" s="135"/>
      <c r="F34" s="115" t="str">
        <f t="shared" si="0"/>
        <v>snapp-ErrorCode</v>
      </c>
      <c r="G34" s="12" t="s">
        <v>87</v>
      </c>
      <c r="H34" s="20" t="str">
        <f>P34&amp;SUM($B$9+2)</f>
        <v>%IW2</v>
      </c>
      <c r="M34" s="137"/>
      <c r="O34" t="s">
        <v>211</v>
      </c>
      <c r="P34" t="s">
        <v>89</v>
      </c>
    </row>
    <row r="35" spans="1:17">
      <c r="A35" s="54" t="str">
        <f>F9</f>
        <v>snapp-TriggerReady</v>
      </c>
      <c r="B35" s="118" t="s">
        <v>11</v>
      </c>
      <c r="C35" s="31" t="str">
        <f>H9</f>
        <v>%I0.0</v>
      </c>
      <c r="E35" s="35" t="s">
        <v>212</v>
      </c>
      <c r="F35" s="115" t="str">
        <f t="shared" si="0"/>
        <v>snapp-CommandID</v>
      </c>
      <c r="G35" s="27" t="s">
        <v>87</v>
      </c>
      <c r="H35" s="28" t="str">
        <f>P35&amp;$B$10</f>
        <v>%QW0</v>
      </c>
      <c r="M35" s="137"/>
      <c r="N35" s="87" t="s">
        <v>212</v>
      </c>
      <c r="O35" t="s">
        <v>213</v>
      </c>
      <c r="P35" t="s">
        <v>24</v>
      </c>
    </row>
    <row r="36" spans="1:17">
      <c r="A36" s="54" t="str">
        <f>F6</f>
        <v>snapp-Trigger</v>
      </c>
      <c r="B36" s="118" t="s">
        <v>11</v>
      </c>
      <c r="C36" s="31" t="str">
        <f>H6</f>
        <v>%Q0.1</v>
      </c>
      <c r="E36" s="114" t="s">
        <v>214</v>
      </c>
      <c r="F36" s="115" t="str">
        <f t="shared" si="0"/>
        <v>snapp-Current Program ID</v>
      </c>
      <c r="G36" s="27" t="s">
        <v>87</v>
      </c>
      <c r="H36" s="28" t="str">
        <f>P36&amp;$B$11</f>
        <v>%IW0</v>
      </c>
      <c r="M36" s="137"/>
      <c r="N36" s="87" t="s">
        <v>214</v>
      </c>
      <c r="O36" t="s">
        <v>525</v>
      </c>
      <c r="P36" t="s">
        <v>89</v>
      </c>
    </row>
    <row r="37" spans="1:17" ht="15" thickBot="1">
      <c r="A37" s="54" t="str">
        <f>F10</f>
        <v>snapp-TriggerAck</v>
      </c>
      <c r="B37" s="118" t="s">
        <v>11</v>
      </c>
      <c r="C37" s="31" t="str">
        <f>H10</f>
        <v>%I0.1</v>
      </c>
      <c r="E37" s="112"/>
      <c r="F37" s="115"/>
      <c r="G37" s="10"/>
      <c r="H37" s="28"/>
      <c r="M37" s="137"/>
      <c r="N37" s="87"/>
      <c r="O37" t="s">
        <v>215</v>
      </c>
      <c r="P37" t="s">
        <v>89</v>
      </c>
    </row>
    <row r="38" spans="1:17">
      <c r="A38" s="54" t="str">
        <f>F12</f>
        <v>snapp-AcquisitionError</v>
      </c>
      <c r="B38" s="118" t="s">
        <v>11</v>
      </c>
      <c r="C38" s="31" t="str">
        <f>H12</f>
        <v>%I0.3</v>
      </c>
      <c r="E38" s="134" t="s">
        <v>216</v>
      </c>
      <c r="F38" s="115"/>
      <c r="G38" s="10"/>
      <c r="H38" s="25"/>
      <c r="M38" s="137"/>
      <c r="N38" s="87" t="s">
        <v>306</v>
      </c>
      <c r="O38" t="s">
        <v>218</v>
      </c>
      <c r="P38" t="s">
        <v>14</v>
      </c>
      <c r="Q38" s="3">
        <v>0</v>
      </c>
    </row>
    <row r="39" spans="1:17">
      <c r="A39" s="54" t="str">
        <f>F23</f>
        <v>snapp-Reserved</v>
      </c>
      <c r="B39" s="118" t="s">
        <v>11</v>
      </c>
      <c r="C39" s="31" t="str">
        <f>H23</f>
        <v>%I0.0</v>
      </c>
      <c r="E39" s="134"/>
      <c r="F39" s="115"/>
      <c r="G39" s="11"/>
      <c r="H39" s="4"/>
      <c r="M39" s="137"/>
      <c r="N39" s="87"/>
      <c r="O39" t="s">
        <v>219</v>
      </c>
      <c r="P39" t="s">
        <v>14</v>
      </c>
      <c r="Q39" s="3">
        <v>1</v>
      </c>
    </row>
    <row r="40" spans="1:17">
      <c r="A40" s="54" t="str">
        <f>F24</f>
        <v>snapp-InspectionCompleted</v>
      </c>
      <c r="B40" s="118" t="s">
        <v>11</v>
      </c>
      <c r="C40" s="31" t="str">
        <f>H24</f>
        <v>%I0.1</v>
      </c>
      <c r="E40" s="134"/>
      <c r="F40" s="115"/>
      <c r="G40" s="11"/>
      <c r="H40" s="4"/>
      <c r="M40" s="137"/>
      <c r="N40" s="87"/>
      <c r="O40" t="s">
        <v>220</v>
      </c>
      <c r="P40" t="s">
        <v>14</v>
      </c>
      <c r="Q40" s="3">
        <v>2</v>
      </c>
    </row>
    <row r="41" spans="1:17">
      <c r="A41" s="54" t="str">
        <f>F31</f>
        <v>snapp-Inspection Passed</v>
      </c>
      <c r="B41" s="118" t="s">
        <v>11</v>
      </c>
      <c r="C41" s="31" t="str">
        <f>H31</f>
        <v>%I1.0</v>
      </c>
      <c r="E41" s="134"/>
      <c r="F41" s="115"/>
      <c r="G41" s="11"/>
      <c r="H41" s="4"/>
      <c r="M41" s="137"/>
      <c r="N41" s="87"/>
      <c r="O41" t="s">
        <v>221</v>
      </c>
      <c r="P41" t="s">
        <v>14</v>
      </c>
      <c r="Q41" s="3">
        <v>3</v>
      </c>
    </row>
    <row r="42" spans="1:17">
      <c r="A42" s="54" t="str">
        <f>F17</f>
        <v>snapp-AcquisitionID</v>
      </c>
      <c r="B42" s="31" t="s">
        <v>22</v>
      </c>
      <c r="C42" s="31" t="str">
        <f>H17</f>
        <v>%IW2</v>
      </c>
      <c r="E42" s="134"/>
      <c r="F42" s="115"/>
      <c r="G42" s="11"/>
      <c r="H42" s="4"/>
      <c r="M42" s="137"/>
      <c r="N42" s="87"/>
      <c r="O42" t="s">
        <v>222</v>
      </c>
      <c r="P42" t="s">
        <v>14</v>
      </c>
      <c r="Q42" s="3">
        <v>4</v>
      </c>
    </row>
    <row r="43" spans="1:17">
      <c r="A43" s="54" t="str">
        <f>F33</f>
        <v>snapp-Error</v>
      </c>
      <c r="B43" s="31" t="s">
        <v>11</v>
      </c>
      <c r="C43" s="31" t="str">
        <f>H33</f>
        <v>%I1.7</v>
      </c>
      <c r="E43" s="134"/>
      <c r="F43" s="115"/>
      <c r="G43" s="11"/>
      <c r="H43" s="4"/>
      <c r="M43" s="137"/>
      <c r="N43" s="87"/>
      <c r="O43" t="s">
        <v>223</v>
      </c>
      <c r="P43" t="s">
        <v>14</v>
      </c>
      <c r="Q43" s="3">
        <v>5</v>
      </c>
    </row>
    <row r="44" spans="1:17">
      <c r="A44" s="54" t="str">
        <f>F22</f>
        <v>snapp-ClearError</v>
      </c>
      <c r="B44" s="31" t="s">
        <v>11</v>
      </c>
      <c r="C44" s="31" t="str">
        <f>H22</f>
        <v>%Q0.7</v>
      </c>
      <c r="E44" s="134"/>
      <c r="F44" s="115"/>
      <c r="G44" s="11"/>
      <c r="H44" s="4"/>
      <c r="M44" s="137"/>
      <c r="N44" s="87"/>
      <c r="O44" t="s">
        <v>224</v>
      </c>
      <c r="P44" t="s">
        <v>14</v>
      </c>
      <c r="Q44" s="3">
        <v>6</v>
      </c>
    </row>
    <row r="45" spans="1:17">
      <c r="A45" s="54" t="str">
        <f>F34</f>
        <v>snapp-ErrorCode</v>
      </c>
      <c r="B45" s="31" t="s">
        <v>87</v>
      </c>
      <c r="C45" s="31" t="str">
        <f>H34</f>
        <v>%IW2</v>
      </c>
      <c r="E45" s="135"/>
      <c r="F45" s="115"/>
      <c r="G45" s="12"/>
      <c r="H45" s="20"/>
      <c r="M45" s="137"/>
      <c r="N45" s="87"/>
      <c r="O45" t="s">
        <v>225</v>
      </c>
      <c r="P45" t="s">
        <v>14</v>
      </c>
      <c r="Q45" s="3">
        <v>7</v>
      </c>
    </row>
    <row r="46" spans="1:17">
      <c r="A46" s="54" t="str">
        <f>F21</f>
        <v>snapp-ExecuteCommand/JobLoad</v>
      </c>
      <c r="B46" s="31" t="s">
        <v>11</v>
      </c>
      <c r="C46" s="31" t="str">
        <f>H21</f>
        <v>%Q0.3</v>
      </c>
      <c r="E46" s="133" t="s">
        <v>521</v>
      </c>
      <c r="F46" s="115"/>
      <c r="G46" s="10"/>
      <c r="H46" s="25"/>
      <c r="M46" s="137"/>
      <c r="N46" s="87" t="s">
        <v>515</v>
      </c>
      <c r="O46" t="s">
        <v>227</v>
      </c>
      <c r="P46" t="s">
        <v>80</v>
      </c>
      <c r="Q46" s="3">
        <v>0</v>
      </c>
    </row>
    <row r="47" spans="1:17">
      <c r="A47" s="54" t="str">
        <f>F35</f>
        <v>snapp-CommandID</v>
      </c>
      <c r="B47" s="31" t="s">
        <v>87</v>
      </c>
      <c r="C47" s="31" t="str">
        <f>H35</f>
        <v>%QW0</v>
      </c>
      <c r="E47" s="134"/>
      <c r="F47" s="115"/>
      <c r="G47" s="11"/>
      <c r="H47" s="4"/>
      <c r="M47" s="137"/>
      <c r="N47" s="11"/>
      <c r="O47" t="s">
        <v>228</v>
      </c>
      <c r="P47" t="s">
        <v>80</v>
      </c>
      <c r="Q47" s="3">
        <v>1</v>
      </c>
    </row>
    <row r="48" spans="1:17">
      <c r="A48" s="54" t="str">
        <f>F36</f>
        <v>snapp-Current Program ID</v>
      </c>
      <c r="B48" s="31" t="s">
        <v>87</v>
      </c>
      <c r="C48" s="31" t="str">
        <f>H36</f>
        <v>%IW0</v>
      </c>
      <c r="E48" s="134"/>
      <c r="F48" s="115"/>
      <c r="G48" s="11"/>
      <c r="H48" s="4"/>
      <c r="M48" s="137"/>
      <c r="N48" s="11"/>
      <c r="O48" t="s">
        <v>229</v>
      </c>
      <c r="P48" t="s">
        <v>80</v>
      </c>
      <c r="Q48" s="3">
        <v>2</v>
      </c>
    </row>
    <row r="49" spans="1:17">
      <c r="A49" s="54" t="str">
        <f>F27</f>
        <v>snapp-CommandExecuting</v>
      </c>
      <c r="B49" s="31" t="s">
        <v>11</v>
      </c>
      <c r="C49" s="31" t="str">
        <f>H27</f>
        <v>%I0.4</v>
      </c>
      <c r="E49" s="134"/>
      <c r="F49" s="115"/>
      <c r="G49" s="11"/>
      <c r="H49" s="4"/>
      <c r="M49" s="137"/>
      <c r="N49" s="11"/>
      <c r="O49" t="s">
        <v>230</v>
      </c>
      <c r="P49" t="s">
        <v>80</v>
      </c>
      <c r="Q49" s="3">
        <v>3</v>
      </c>
    </row>
    <row r="50" spans="1:17">
      <c r="A50" s="54" t="str">
        <f>F28</f>
        <v>snapp-CommandCompleted</v>
      </c>
      <c r="B50" s="31" t="s">
        <v>11</v>
      </c>
      <c r="C50" s="31" t="str">
        <f>H28</f>
        <v>%I0.5</v>
      </c>
      <c r="E50" s="134"/>
      <c r="F50" s="115"/>
      <c r="G50" s="11"/>
      <c r="H50" s="4"/>
      <c r="M50" s="137"/>
      <c r="N50" s="11"/>
      <c r="O50" t="s">
        <v>231</v>
      </c>
      <c r="P50" t="s">
        <v>80</v>
      </c>
      <c r="Q50" s="3">
        <v>4</v>
      </c>
    </row>
    <row r="51" spans="1:17">
      <c r="A51" s="54" t="str">
        <f>F29</f>
        <v>snapp-CommandFailed</v>
      </c>
      <c r="B51" s="31" t="s">
        <v>11</v>
      </c>
      <c r="C51" s="31" t="str">
        <f>H29</f>
        <v>%I0.6</v>
      </c>
      <c r="E51" s="134"/>
      <c r="F51" s="115"/>
      <c r="G51" s="11"/>
      <c r="H51" s="4"/>
      <c r="M51" s="137"/>
      <c r="N51" s="11"/>
      <c r="O51" t="s">
        <v>232</v>
      </c>
      <c r="P51" t="s">
        <v>80</v>
      </c>
      <c r="Q51" s="3">
        <v>5</v>
      </c>
    </row>
    <row r="52" spans="1:17">
      <c r="A52" s="54" t="str">
        <f>F70</f>
        <v>snapp-InspectionID</v>
      </c>
      <c r="B52" s="31" t="s">
        <v>87</v>
      </c>
      <c r="C52" s="31" t="str">
        <f>H70</f>
        <v>%IW0</v>
      </c>
      <c r="E52" s="134"/>
      <c r="F52" s="115"/>
      <c r="G52" s="11"/>
      <c r="H52" s="4"/>
      <c r="M52" s="137"/>
      <c r="N52" s="11"/>
      <c r="O52" t="s">
        <v>233</v>
      </c>
      <c r="P52" t="s">
        <v>80</v>
      </c>
      <c r="Q52" s="3">
        <v>6</v>
      </c>
    </row>
    <row r="53" spans="1:17">
      <c r="A53" s="54" t="str">
        <f t="shared" ref="A53:A68" si="5">F72</f>
        <v>snapp-InspectionResults[0]</v>
      </c>
      <c r="B53" s="31" t="s">
        <v>235</v>
      </c>
      <c r="C53" s="31" t="str">
        <f t="shared" ref="C53:C68" si="6">H72</f>
        <v>%IB4</v>
      </c>
      <c r="E53" s="135"/>
      <c r="F53" s="115"/>
      <c r="G53" s="12"/>
      <c r="H53" s="20"/>
      <c r="M53" s="137"/>
      <c r="N53" s="11"/>
      <c r="O53" t="s">
        <v>234</v>
      </c>
      <c r="P53" t="s">
        <v>80</v>
      </c>
      <c r="Q53" s="3">
        <v>7</v>
      </c>
    </row>
    <row r="54" spans="1:17">
      <c r="A54" s="54" t="str">
        <f t="shared" si="5"/>
        <v>snapp-InspectionResults[1]</v>
      </c>
      <c r="B54" s="31" t="s">
        <v>235</v>
      </c>
      <c r="C54" s="31" t="str">
        <f t="shared" si="6"/>
        <v>%IB5</v>
      </c>
      <c r="E54" s="133" t="s">
        <v>194</v>
      </c>
      <c r="F54" s="115"/>
      <c r="G54" s="10"/>
      <c r="H54" s="25"/>
      <c r="M54" s="137"/>
      <c r="N54" s="87" t="s">
        <v>194</v>
      </c>
      <c r="O54" t="s">
        <v>237</v>
      </c>
      <c r="P54" t="s">
        <v>238</v>
      </c>
      <c r="Q54">
        <f>$B$14</f>
        <v>0</v>
      </c>
    </row>
    <row r="55" spans="1:17">
      <c r="A55" s="54" t="str">
        <f t="shared" si="5"/>
        <v>snapp-InspectionResults[2]</v>
      </c>
      <c r="B55" s="31" t="s">
        <v>235</v>
      </c>
      <c r="C55" s="31" t="str">
        <f t="shared" si="6"/>
        <v>%IB6</v>
      </c>
      <c r="E55" s="134"/>
      <c r="F55" s="115"/>
      <c r="G55" s="11"/>
      <c r="H55" s="4"/>
      <c r="M55" s="137"/>
      <c r="N55" s="11"/>
      <c r="O55" t="s">
        <v>239</v>
      </c>
      <c r="P55" t="s">
        <v>238</v>
      </c>
      <c r="Q55">
        <f>SUM(Q54+1)</f>
        <v>1</v>
      </c>
    </row>
    <row r="56" spans="1:17">
      <c r="A56" s="54" t="str">
        <f t="shared" si="5"/>
        <v>snapp-InspectionResults[3]</v>
      </c>
      <c r="B56" s="31" t="s">
        <v>235</v>
      </c>
      <c r="C56" s="31" t="str">
        <f t="shared" si="6"/>
        <v>%IB7</v>
      </c>
      <c r="E56" s="134"/>
      <c r="F56" s="115"/>
      <c r="G56" s="11"/>
      <c r="H56" s="4"/>
      <c r="M56" s="137"/>
      <c r="N56" s="11"/>
      <c r="O56" t="s">
        <v>240</v>
      </c>
      <c r="P56" t="s">
        <v>238</v>
      </c>
      <c r="Q56">
        <f t="shared" ref="Q56:Q69" si="7">SUM(Q55+1)</f>
        <v>2</v>
      </c>
    </row>
    <row r="57" spans="1:17">
      <c r="A57" s="54" t="str">
        <f t="shared" si="5"/>
        <v>snapp-InspectionResults[4]</v>
      </c>
      <c r="B57" s="31" t="s">
        <v>235</v>
      </c>
      <c r="C57" s="31" t="str">
        <f t="shared" si="6"/>
        <v>%IB8</v>
      </c>
      <c r="E57" s="134"/>
      <c r="F57" s="115"/>
      <c r="G57" s="11"/>
      <c r="H57" s="4"/>
      <c r="M57" s="137"/>
      <c r="N57" s="11"/>
      <c r="O57" t="s">
        <v>241</v>
      </c>
      <c r="P57" t="s">
        <v>238</v>
      </c>
      <c r="Q57">
        <f t="shared" si="7"/>
        <v>3</v>
      </c>
    </row>
    <row r="58" spans="1:17">
      <c r="A58" s="54" t="str">
        <f t="shared" si="5"/>
        <v>snapp-InspectionResults[5]</v>
      </c>
      <c r="B58" s="31" t="s">
        <v>235</v>
      </c>
      <c r="C58" s="31" t="str">
        <f t="shared" si="6"/>
        <v>%IB9</v>
      </c>
      <c r="E58" s="134"/>
      <c r="F58" s="115"/>
      <c r="G58" s="11"/>
      <c r="H58" s="4"/>
      <c r="M58" s="137"/>
      <c r="N58" s="11"/>
      <c r="O58" t="s">
        <v>242</v>
      </c>
      <c r="P58" t="s">
        <v>238</v>
      </c>
      <c r="Q58">
        <f t="shared" si="7"/>
        <v>4</v>
      </c>
    </row>
    <row r="59" spans="1:17">
      <c r="A59" s="54" t="str">
        <f t="shared" si="5"/>
        <v>snapp-InspectionResults[6]</v>
      </c>
      <c r="B59" s="31" t="s">
        <v>235</v>
      </c>
      <c r="C59" s="31" t="str">
        <f t="shared" si="6"/>
        <v>%IB10</v>
      </c>
      <c r="E59" s="134"/>
      <c r="F59" s="115"/>
      <c r="G59" s="11"/>
      <c r="H59" s="4"/>
      <c r="M59" s="137"/>
      <c r="N59" s="11"/>
      <c r="O59" t="s">
        <v>243</v>
      </c>
      <c r="P59" t="s">
        <v>238</v>
      </c>
      <c r="Q59">
        <f t="shared" si="7"/>
        <v>5</v>
      </c>
    </row>
    <row r="60" spans="1:17">
      <c r="A60" s="54" t="str">
        <f t="shared" si="5"/>
        <v>snapp-InspectionResults[7]</v>
      </c>
      <c r="B60" s="31" t="s">
        <v>235</v>
      </c>
      <c r="C60" s="31" t="str">
        <f t="shared" si="6"/>
        <v>%IB11</v>
      </c>
      <c r="E60" s="134"/>
      <c r="F60" s="115"/>
      <c r="G60" s="11"/>
      <c r="H60" s="4"/>
      <c r="M60" s="137"/>
      <c r="N60" s="11"/>
      <c r="O60" t="s">
        <v>244</v>
      </c>
      <c r="P60" t="s">
        <v>238</v>
      </c>
      <c r="Q60">
        <f t="shared" si="7"/>
        <v>6</v>
      </c>
    </row>
    <row r="61" spans="1:17">
      <c r="A61" s="54" t="str">
        <f t="shared" si="5"/>
        <v>snapp-InspectionResults[8]</v>
      </c>
      <c r="B61" s="31" t="s">
        <v>235</v>
      </c>
      <c r="C61" s="31" t="str">
        <f t="shared" si="6"/>
        <v>%IB12</v>
      </c>
      <c r="E61" s="134"/>
      <c r="F61" s="115"/>
      <c r="G61" s="11"/>
      <c r="H61" s="4"/>
      <c r="M61" s="137"/>
      <c r="N61" s="11"/>
      <c r="O61" t="s">
        <v>245</v>
      </c>
      <c r="P61" t="s">
        <v>238</v>
      </c>
      <c r="Q61">
        <f t="shared" si="7"/>
        <v>7</v>
      </c>
    </row>
    <row r="62" spans="1:17">
      <c r="A62" s="54" t="str">
        <f t="shared" si="5"/>
        <v>snapp-InspectionResults[9]</v>
      </c>
      <c r="B62" s="31" t="s">
        <v>235</v>
      </c>
      <c r="C62" s="31" t="str">
        <f t="shared" si="6"/>
        <v>%IB13</v>
      </c>
      <c r="E62" s="134"/>
      <c r="F62" s="115"/>
      <c r="G62" s="11"/>
      <c r="H62" s="4"/>
      <c r="M62" s="137"/>
      <c r="N62" s="11"/>
      <c r="O62" t="s">
        <v>246</v>
      </c>
      <c r="P62" t="s">
        <v>238</v>
      </c>
      <c r="Q62">
        <f t="shared" si="7"/>
        <v>8</v>
      </c>
    </row>
    <row r="63" spans="1:17">
      <c r="A63" s="54" t="str">
        <f t="shared" si="5"/>
        <v>snapp-InspectionResults[10]</v>
      </c>
      <c r="B63" s="31" t="s">
        <v>235</v>
      </c>
      <c r="C63" s="31" t="str">
        <f t="shared" si="6"/>
        <v>%IB14</v>
      </c>
      <c r="E63" s="134"/>
      <c r="F63" s="115"/>
      <c r="G63" s="11"/>
      <c r="H63" s="4"/>
      <c r="M63" s="137"/>
      <c r="N63" s="11"/>
      <c r="O63" t="s">
        <v>247</v>
      </c>
      <c r="P63" t="s">
        <v>238</v>
      </c>
      <c r="Q63">
        <f t="shared" si="7"/>
        <v>9</v>
      </c>
    </row>
    <row r="64" spans="1:17">
      <c r="A64" s="54" t="str">
        <f t="shared" si="5"/>
        <v>snapp-InspectionResults[11]</v>
      </c>
      <c r="B64" s="31" t="s">
        <v>235</v>
      </c>
      <c r="C64" s="31" t="str">
        <f t="shared" si="6"/>
        <v>%IB15</v>
      </c>
      <c r="E64" s="134"/>
      <c r="F64" s="115"/>
      <c r="G64" s="11"/>
      <c r="H64" s="4"/>
      <c r="M64" s="137"/>
      <c r="N64" s="11"/>
      <c r="O64" t="s">
        <v>248</v>
      </c>
      <c r="P64" t="s">
        <v>238</v>
      </c>
      <c r="Q64">
        <f t="shared" si="7"/>
        <v>10</v>
      </c>
    </row>
    <row r="65" spans="1:17">
      <c r="A65" s="54" t="str">
        <f t="shared" si="5"/>
        <v>snapp-InspectionResults[12]</v>
      </c>
      <c r="B65" s="31" t="s">
        <v>235</v>
      </c>
      <c r="C65" s="31" t="str">
        <f t="shared" si="6"/>
        <v>%IB16</v>
      </c>
      <c r="E65" s="134"/>
      <c r="F65" s="115"/>
      <c r="G65" s="11"/>
      <c r="H65" s="4"/>
      <c r="M65" s="137"/>
      <c r="N65" s="11"/>
      <c r="O65" t="s">
        <v>249</v>
      </c>
      <c r="P65" t="s">
        <v>238</v>
      </c>
      <c r="Q65">
        <f t="shared" si="7"/>
        <v>11</v>
      </c>
    </row>
    <row r="66" spans="1:17">
      <c r="A66" s="54" t="str">
        <f t="shared" si="5"/>
        <v>snapp-InspectionResults[13]</v>
      </c>
      <c r="B66" s="31" t="s">
        <v>235</v>
      </c>
      <c r="C66" s="31" t="str">
        <f t="shared" si="6"/>
        <v>%IB17</v>
      </c>
      <c r="E66" s="134"/>
      <c r="F66" s="115"/>
      <c r="G66" s="11"/>
      <c r="H66" s="4"/>
      <c r="M66" s="137"/>
      <c r="N66" s="11"/>
      <c r="O66" t="s">
        <v>250</v>
      </c>
      <c r="P66" t="s">
        <v>238</v>
      </c>
      <c r="Q66">
        <f t="shared" si="7"/>
        <v>12</v>
      </c>
    </row>
    <row r="67" spans="1:17">
      <c r="A67" s="54" t="str">
        <f t="shared" si="5"/>
        <v>snapp-InspectionResults[14]</v>
      </c>
      <c r="B67" s="31" t="s">
        <v>235</v>
      </c>
      <c r="C67" s="31" t="str">
        <f t="shared" si="6"/>
        <v>%IB18</v>
      </c>
      <c r="E67" s="134"/>
      <c r="F67" s="115"/>
      <c r="G67" s="11"/>
      <c r="H67" s="4"/>
      <c r="M67" s="137"/>
      <c r="N67" s="11"/>
      <c r="O67" t="s">
        <v>251</v>
      </c>
      <c r="P67" t="s">
        <v>238</v>
      </c>
      <c r="Q67">
        <f t="shared" si="7"/>
        <v>13</v>
      </c>
    </row>
    <row r="68" spans="1:17">
      <c r="A68" s="54" t="str">
        <f t="shared" si="5"/>
        <v>snapp-InspectionResults[15]</v>
      </c>
      <c r="B68" s="31" t="s">
        <v>235</v>
      </c>
      <c r="C68" s="31" t="str">
        <f t="shared" si="6"/>
        <v>%IB19</v>
      </c>
      <c r="E68" s="134"/>
      <c r="F68" s="115"/>
      <c r="G68" s="11"/>
      <c r="H68" s="4"/>
      <c r="M68" s="137"/>
      <c r="N68" s="11"/>
      <c r="O68" t="s">
        <v>252</v>
      </c>
      <c r="P68" t="s">
        <v>238</v>
      </c>
      <c r="Q68">
        <f t="shared" si="7"/>
        <v>14</v>
      </c>
    </row>
    <row r="69" spans="1:17">
      <c r="E69" s="135"/>
      <c r="F69" s="115"/>
      <c r="G69" s="12"/>
      <c r="H69" s="20"/>
      <c r="M69" s="137"/>
      <c r="N69" s="11"/>
      <c r="O69" t="s">
        <v>253</v>
      </c>
      <c r="P69" t="s">
        <v>238</v>
      </c>
      <c r="Q69">
        <f t="shared" si="7"/>
        <v>15</v>
      </c>
    </row>
    <row r="70" spans="1:17">
      <c r="E70" s="134" t="s">
        <v>195</v>
      </c>
      <c r="F70" s="115" t="str">
        <f t="shared" ref="F70:F87" si="8">$B$2&amp;"-"&amp;O70</f>
        <v>snapp-InspectionID</v>
      </c>
      <c r="G70" s="11" t="s">
        <v>87</v>
      </c>
      <c r="H70" s="4" t="str">
        <f t="shared" ref="H70:H87" si="9">P70&amp;Q70</f>
        <v>%IW0</v>
      </c>
      <c r="M70" s="137"/>
      <c r="N70" s="87" t="s">
        <v>195</v>
      </c>
      <c r="O70" t="s">
        <v>254</v>
      </c>
      <c r="P70" t="s">
        <v>89</v>
      </c>
      <c r="Q70">
        <f>$B$15</f>
        <v>0</v>
      </c>
    </row>
    <row r="71" spans="1:17">
      <c r="E71" s="134"/>
      <c r="F71" s="115"/>
      <c r="G71" s="11"/>
      <c r="H71" s="4"/>
      <c r="M71" s="137"/>
      <c r="N71" s="11"/>
      <c r="O71" t="s">
        <v>255</v>
      </c>
      <c r="P71" t="s">
        <v>89</v>
      </c>
      <c r="Q71">
        <f>SUM($B$15+2)</f>
        <v>2</v>
      </c>
    </row>
    <row r="72" spans="1:17">
      <c r="E72" s="134"/>
      <c r="F72" s="115" t="str">
        <f t="shared" si="8"/>
        <v>snapp-InspectionResults[0]</v>
      </c>
      <c r="G72" s="11" t="s">
        <v>235</v>
      </c>
      <c r="H72" s="4" t="str">
        <f t="shared" si="9"/>
        <v>%IB4</v>
      </c>
      <c r="M72" s="137"/>
      <c r="N72" s="11"/>
      <c r="O72" t="s">
        <v>256</v>
      </c>
      <c r="P72" t="s">
        <v>257</v>
      </c>
      <c r="Q72">
        <f>SUM(Q71+2)</f>
        <v>4</v>
      </c>
    </row>
    <row r="73" spans="1:17">
      <c r="E73" s="134"/>
      <c r="F73" s="115" t="str">
        <f t="shared" si="8"/>
        <v>snapp-InspectionResults[1]</v>
      </c>
      <c r="G73" s="11" t="s">
        <v>235</v>
      </c>
      <c r="H73" s="4" t="str">
        <f t="shared" si="9"/>
        <v>%IB5</v>
      </c>
      <c r="M73" s="137"/>
      <c r="N73" s="11"/>
      <c r="O73" t="s">
        <v>258</v>
      </c>
      <c r="P73" t="s">
        <v>257</v>
      </c>
      <c r="Q73">
        <f t="shared" ref="Q73:Q87" si="10">SUM(Q72+1)</f>
        <v>5</v>
      </c>
    </row>
    <row r="74" spans="1:17">
      <c r="E74" s="134"/>
      <c r="F74" s="115" t="str">
        <f t="shared" si="8"/>
        <v>snapp-InspectionResults[2]</v>
      </c>
      <c r="G74" s="11" t="s">
        <v>235</v>
      </c>
      <c r="H74" s="4" t="str">
        <f t="shared" si="9"/>
        <v>%IB6</v>
      </c>
      <c r="M74" s="137"/>
      <c r="N74" s="11"/>
      <c r="O74" t="s">
        <v>259</v>
      </c>
      <c r="P74" t="s">
        <v>257</v>
      </c>
      <c r="Q74">
        <f t="shared" si="10"/>
        <v>6</v>
      </c>
    </row>
    <row r="75" spans="1:17">
      <c r="E75" s="134"/>
      <c r="F75" s="115" t="str">
        <f t="shared" si="8"/>
        <v>snapp-InspectionResults[3]</v>
      </c>
      <c r="G75" s="11" t="s">
        <v>235</v>
      </c>
      <c r="H75" s="4" t="str">
        <f t="shared" si="9"/>
        <v>%IB7</v>
      </c>
      <c r="M75" s="137"/>
      <c r="N75" s="11"/>
      <c r="O75" t="s">
        <v>260</v>
      </c>
      <c r="P75" t="s">
        <v>257</v>
      </c>
      <c r="Q75">
        <f t="shared" si="10"/>
        <v>7</v>
      </c>
    </row>
    <row r="76" spans="1:17">
      <c r="E76" s="134"/>
      <c r="F76" s="115" t="str">
        <f t="shared" si="8"/>
        <v>snapp-InspectionResults[4]</v>
      </c>
      <c r="G76" s="11" t="s">
        <v>235</v>
      </c>
      <c r="H76" s="4" t="str">
        <f t="shared" si="9"/>
        <v>%IB8</v>
      </c>
      <c r="M76" s="29"/>
      <c r="N76" s="11"/>
      <c r="O76" t="s">
        <v>261</v>
      </c>
      <c r="P76" t="s">
        <v>257</v>
      </c>
      <c r="Q76">
        <f t="shared" si="10"/>
        <v>8</v>
      </c>
    </row>
    <row r="77" spans="1:17">
      <c r="E77" s="134"/>
      <c r="F77" s="54" t="str">
        <f t="shared" si="8"/>
        <v>snapp-InspectionResults[5]</v>
      </c>
      <c r="G77" s="11" t="s">
        <v>235</v>
      </c>
      <c r="H77" s="4" t="str">
        <f t="shared" si="9"/>
        <v>%IB9</v>
      </c>
      <c r="N77" s="11"/>
      <c r="O77" t="s">
        <v>262</v>
      </c>
      <c r="P77" t="s">
        <v>257</v>
      </c>
      <c r="Q77">
        <f t="shared" si="10"/>
        <v>9</v>
      </c>
    </row>
    <row r="78" spans="1:17">
      <c r="E78" s="134"/>
      <c r="F78" s="54" t="str">
        <f t="shared" si="8"/>
        <v>snapp-InspectionResults[6]</v>
      </c>
      <c r="G78" s="11" t="s">
        <v>235</v>
      </c>
      <c r="H78" s="4" t="str">
        <f t="shared" si="9"/>
        <v>%IB10</v>
      </c>
      <c r="N78" s="11"/>
      <c r="O78" t="s">
        <v>263</v>
      </c>
      <c r="P78" t="s">
        <v>257</v>
      </c>
      <c r="Q78">
        <f t="shared" si="10"/>
        <v>10</v>
      </c>
    </row>
    <row r="79" spans="1:17">
      <c r="E79" s="134"/>
      <c r="F79" s="54" t="str">
        <f t="shared" si="8"/>
        <v>snapp-InspectionResults[7]</v>
      </c>
      <c r="G79" s="11" t="s">
        <v>235</v>
      </c>
      <c r="H79" s="4" t="str">
        <f t="shared" si="9"/>
        <v>%IB11</v>
      </c>
      <c r="N79" s="11"/>
      <c r="O79" t="s">
        <v>264</v>
      </c>
      <c r="P79" t="s">
        <v>257</v>
      </c>
      <c r="Q79">
        <f t="shared" si="10"/>
        <v>11</v>
      </c>
    </row>
    <row r="80" spans="1:17">
      <c r="E80" s="134"/>
      <c r="F80" s="54" t="str">
        <f t="shared" si="8"/>
        <v>snapp-InspectionResults[8]</v>
      </c>
      <c r="G80" s="11" t="s">
        <v>235</v>
      </c>
      <c r="H80" s="4" t="str">
        <f t="shared" si="9"/>
        <v>%IB12</v>
      </c>
      <c r="N80" s="11"/>
      <c r="O80" t="s">
        <v>265</v>
      </c>
      <c r="P80" t="s">
        <v>257</v>
      </c>
      <c r="Q80">
        <f t="shared" si="10"/>
        <v>12</v>
      </c>
    </row>
    <row r="81" spans="1:17">
      <c r="E81" s="134"/>
      <c r="F81" s="54" t="str">
        <f t="shared" si="8"/>
        <v>snapp-InspectionResults[9]</v>
      </c>
      <c r="G81" s="11" t="s">
        <v>235</v>
      </c>
      <c r="H81" s="4" t="str">
        <f t="shared" si="9"/>
        <v>%IB13</v>
      </c>
      <c r="N81" s="11"/>
      <c r="O81" t="s">
        <v>266</v>
      </c>
      <c r="P81" t="s">
        <v>257</v>
      </c>
      <c r="Q81">
        <f t="shared" si="10"/>
        <v>13</v>
      </c>
    </row>
    <row r="82" spans="1:17">
      <c r="E82" s="134"/>
      <c r="F82" s="54" t="str">
        <f t="shared" si="8"/>
        <v>snapp-InspectionResults[10]</v>
      </c>
      <c r="G82" s="11" t="s">
        <v>235</v>
      </c>
      <c r="H82" s="4" t="str">
        <f t="shared" si="9"/>
        <v>%IB14</v>
      </c>
      <c r="N82" s="11"/>
      <c r="O82" t="s">
        <v>267</v>
      </c>
      <c r="P82" t="s">
        <v>257</v>
      </c>
      <c r="Q82">
        <f t="shared" si="10"/>
        <v>14</v>
      </c>
    </row>
    <row r="83" spans="1:17">
      <c r="E83" s="134"/>
      <c r="F83" s="54" t="str">
        <f t="shared" si="8"/>
        <v>snapp-InspectionResults[11]</v>
      </c>
      <c r="G83" s="11" t="s">
        <v>235</v>
      </c>
      <c r="H83" s="4" t="str">
        <f t="shared" si="9"/>
        <v>%IB15</v>
      </c>
      <c r="N83" s="11"/>
      <c r="O83" t="s">
        <v>268</v>
      </c>
      <c r="P83" t="s">
        <v>257</v>
      </c>
      <c r="Q83">
        <f t="shared" si="10"/>
        <v>15</v>
      </c>
    </row>
    <row r="84" spans="1:17">
      <c r="E84" s="134"/>
      <c r="F84" s="54" t="str">
        <f t="shared" si="8"/>
        <v>snapp-InspectionResults[12]</v>
      </c>
      <c r="G84" s="11" t="s">
        <v>235</v>
      </c>
      <c r="H84" s="4" t="str">
        <f t="shared" si="9"/>
        <v>%IB16</v>
      </c>
      <c r="N84" s="11"/>
      <c r="O84" t="s">
        <v>269</v>
      </c>
      <c r="P84" t="s">
        <v>257</v>
      </c>
      <c r="Q84">
        <f t="shared" si="10"/>
        <v>16</v>
      </c>
    </row>
    <row r="85" spans="1:17">
      <c r="E85" s="134"/>
      <c r="F85" s="54" t="str">
        <f t="shared" si="8"/>
        <v>snapp-InspectionResults[13]</v>
      </c>
      <c r="G85" s="11" t="s">
        <v>235</v>
      </c>
      <c r="H85" s="4" t="str">
        <f t="shared" si="9"/>
        <v>%IB17</v>
      </c>
      <c r="N85" s="11"/>
      <c r="O85" t="s">
        <v>270</v>
      </c>
      <c r="P85" t="s">
        <v>257</v>
      </c>
      <c r="Q85">
        <f t="shared" si="10"/>
        <v>17</v>
      </c>
    </row>
    <row r="86" spans="1:17">
      <c r="E86" s="134"/>
      <c r="F86" s="54" t="str">
        <f t="shared" si="8"/>
        <v>snapp-InspectionResults[14]</v>
      </c>
      <c r="G86" s="11" t="s">
        <v>235</v>
      </c>
      <c r="H86" s="4" t="str">
        <f t="shared" si="9"/>
        <v>%IB18</v>
      </c>
      <c r="O86" t="s">
        <v>271</v>
      </c>
      <c r="P86" t="s">
        <v>257</v>
      </c>
      <c r="Q86">
        <f t="shared" si="10"/>
        <v>18</v>
      </c>
    </row>
    <row r="87" spans="1:17" ht="15" thickBot="1">
      <c r="E87" s="144"/>
      <c r="F87" s="117" t="str">
        <f t="shared" si="8"/>
        <v>snapp-InspectionResults[15]</v>
      </c>
      <c r="G87" s="13" t="s">
        <v>235</v>
      </c>
      <c r="H87" s="2" t="str">
        <f t="shared" si="9"/>
        <v>%IB19</v>
      </c>
      <c r="O87" t="s">
        <v>272</v>
      </c>
      <c r="P87" t="s">
        <v>257</v>
      </c>
      <c r="Q87">
        <f t="shared" si="10"/>
        <v>19</v>
      </c>
    </row>
    <row r="96" spans="1:17">
      <c r="A96" s="19"/>
      <c r="B96" s="119"/>
      <c r="C96" s="119"/>
    </row>
  </sheetData>
  <mergeCells count="27">
    <mergeCell ref="A30:B30"/>
    <mergeCell ref="A27:B27"/>
    <mergeCell ref="A25:B25"/>
    <mergeCell ref="A26:B26"/>
    <mergeCell ref="A28:B28"/>
    <mergeCell ref="A29:B29"/>
    <mergeCell ref="E5:E8"/>
    <mergeCell ref="M5:M75"/>
    <mergeCell ref="E9:E17"/>
    <mergeCell ref="A17:B17"/>
    <mergeCell ref="A18:B18"/>
    <mergeCell ref="A19:B19"/>
    <mergeCell ref="A20:B20"/>
    <mergeCell ref="A21:B21"/>
    <mergeCell ref="A22:B22"/>
    <mergeCell ref="A23:B23"/>
    <mergeCell ref="E38:E45"/>
    <mergeCell ref="E46:E53"/>
    <mergeCell ref="E54:E69"/>
    <mergeCell ref="E70:E87"/>
    <mergeCell ref="E18:E22"/>
    <mergeCell ref="E23:E34"/>
    <mergeCell ref="A2:A3"/>
    <mergeCell ref="B2:B3"/>
    <mergeCell ref="E3:E4"/>
    <mergeCell ref="F3:H3"/>
    <mergeCell ref="N3:Q3"/>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814FE-2B6E-49F2-8637-5B0774A1A76D}">
  <sheetPr codeName="Sheet5"/>
  <dimension ref="A1:V103"/>
  <sheetViews>
    <sheetView workbookViewId="0">
      <selection activeCell="A19" sqref="A19:B19"/>
    </sheetView>
  </sheetViews>
  <sheetFormatPr defaultRowHeight="14.4"/>
  <cols>
    <col min="1" max="1" width="35" customWidth="1"/>
    <col min="2" max="2" width="24.6640625" customWidth="1"/>
    <col min="3" max="3" width="12.88671875" customWidth="1"/>
    <col min="4" max="4" width="13" customWidth="1"/>
    <col min="5" max="5" width="30.6640625" customWidth="1"/>
    <col min="6" max="6" width="41.44140625" customWidth="1"/>
    <col min="7" max="8" width="10" customWidth="1"/>
    <col min="9" max="9" width="12.109375" customWidth="1"/>
    <col min="10" max="10" width="15.44140625" customWidth="1"/>
    <col min="13" max="13" width="45.109375" customWidth="1"/>
    <col min="14" max="14" width="29.109375" customWidth="1"/>
    <col min="15" max="15" width="23.21875" bestFit="1" customWidth="1"/>
    <col min="18" max="18" width="22.5546875" customWidth="1"/>
    <col min="20" max="20" width="25.33203125" customWidth="1"/>
  </cols>
  <sheetData>
    <row r="1" spans="1:22" ht="15" thickBot="1"/>
    <row r="2" spans="1:22" ht="15" thickBot="1">
      <c r="A2" s="123" t="s">
        <v>176</v>
      </c>
      <c r="B2" s="155" t="s">
        <v>534</v>
      </c>
    </row>
    <row r="3" spans="1:22" ht="15" thickBot="1">
      <c r="A3" s="124"/>
      <c r="B3" s="156"/>
      <c r="C3" s="14"/>
      <c r="D3" s="14"/>
      <c r="E3" s="157"/>
      <c r="F3" s="159" t="s">
        <v>2</v>
      </c>
      <c r="G3" s="160"/>
      <c r="H3" s="161"/>
      <c r="I3" s="1"/>
      <c r="N3" s="132" t="s">
        <v>3</v>
      </c>
      <c r="O3" s="132"/>
      <c r="P3" s="132"/>
      <c r="Q3" s="132"/>
    </row>
    <row r="4" spans="1:22" ht="15" thickBot="1">
      <c r="A4" s="11"/>
      <c r="B4" s="11"/>
      <c r="C4" s="14"/>
      <c r="D4" s="14"/>
      <c r="E4" s="158"/>
      <c r="F4" s="22" t="s">
        <v>4</v>
      </c>
      <c r="G4" s="6" t="s">
        <v>5</v>
      </c>
      <c r="H4" s="6" t="s">
        <v>6</v>
      </c>
      <c r="Q4" t="s">
        <v>7</v>
      </c>
    </row>
    <row r="5" spans="1:22" ht="16.2" thickBot="1">
      <c r="A5" s="7" t="s">
        <v>8</v>
      </c>
      <c r="B5" s="7" t="s">
        <v>9</v>
      </c>
      <c r="E5" s="162" t="s">
        <v>178</v>
      </c>
      <c r="H5" s="21"/>
      <c r="R5" s="1"/>
      <c r="S5" s="1"/>
      <c r="T5" s="1"/>
      <c r="U5" s="1"/>
      <c r="V5" s="1"/>
    </row>
    <row r="6" spans="1:22">
      <c r="A6" s="17" t="s">
        <v>178</v>
      </c>
      <c r="B6" s="36">
        <v>2</v>
      </c>
      <c r="E6" s="163"/>
      <c r="F6" t="str">
        <f t="shared" ref="F6:F7" si="0">$B$2&amp;"-"&amp;O6</f>
        <v>Dataman-TriggerEnable</v>
      </c>
      <c r="G6" s="11" t="s">
        <v>11</v>
      </c>
      <c r="H6" s="4" t="str">
        <f>P6&amp;$B$6&amp;"."&amp;Q6</f>
        <v>%Q2.0</v>
      </c>
      <c r="M6" s="136" t="s">
        <v>315</v>
      </c>
      <c r="N6" s="165" t="s">
        <v>178</v>
      </c>
      <c r="O6" t="s">
        <v>13</v>
      </c>
      <c r="P6" t="s">
        <v>14</v>
      </c>
      <c r="Q6" s="3">
        <v>0</v>
      </c>
      <c r="R6" s="11"/>
      <c r="S6" s="11"/>
      <c r="U6" s="1"/>
      <c r="V6" s="1"/>
    </row>
    <row r="7" spans="1:22">
      <c r="A7" s="17" t="s">
        <v>180</v>
      </c>
      <c r="B7" s="37">
        <v>2</v>
      </c>
      <c r="E7" s="164"/>
      <c r="F7" t="str">
        <f t="shared" si="0"/>
        <v>Dataman-Trigger</v>
      </c>
      <c r="G7" s="11" t="s">
        <v>11</v>
      </c>
      <c r="H7" s="4" t="str">
        <f>P7&amp;$B$6&amp;"."&amp;Q7</f>
        <v>%Q2.1</v>
      </c>
      <c r="M7" s="136"/>
      <c r="N7" s="165"/>
      <c r="O7" t="s">
        <v>179</v>
      </c>
      <c r="P7" t="s">
        <v>14</v>
      </c>
      <c r="Q7" s="3">
        <v>1</v>
      </c>
      <c r="R7" s="11"/>
      <c r="S7" s="11"/>
      <c r="U7" s="1"/>
      <c r="V7" s="1"/>
    </row>
    <row r="8" spans="1:22">
      <c r="A8" s="17" t="s">
        <v>512</v>
      </c>
      <c r="B8" s="37">
        <v>3</v>
      </c>
      <c r="E8" s="154" t="s">
        <v>180</v>
      </c>
      <c r="F8" s="24" t="str">
        <f>$B$2&amp;"-"&amp;O8</f>
        <v>Dataman-TriggerReady</v>
      </c>
      <c r="G8" s="10" t="s">
        <v>11</v>
      </c>
      <c r="H8" s="25" t="str">
        <f>P8&amp;$B$7&amp;"."&amp;Q8</f>
        <v>%I2.0</v>
      </c>
      <c r="M8" s="136"/>
      <c r="N8" s="165" t="s">
        <v>180</v>
      </c>
      <c r="O8" t="s">
        <v>185</v>
      </c>
      <c r="P8" t="s">
        <v>80</v>
      </c>
      <c r="Q8" s="3">
        <v>0</v>
      </c>
      <c r="R8" s="11"/>
      <c r="S8" s="11"/>
      <c r="U8" s="1"/>
      <c r="V8" s="1"/>
    </row>
    <row r="9" spans="1:22">
      <c r="A9" s="17" t="s">
        <v>513</v>
      </c>
      <c r="B9" s="37">
        <v>5</v>
      </c>
      <c r="E9" s="154"/>
      <c r="F9" t="str">
        <f t="shared" ref="F9:F76" si="1">$B$2&amp;"-"&amp;O9</f>
        <v>Dataman-TriggerAck</v>
      </c>
      <c r="G9" s="11" t="s">
        <v>11</v>
      </c>
      <c r="H9" s="4" t="str">
        <f>P9&amp;$B$7&amp;"."&amp;Q9</f>
        <v>%I2.1</v>
      </c>
      <c r="M9" s="136"/>
      <c r="N9" s="165"/>
      <c r="O9" t="s">
        <v>187</v>
      </c>
      <c r="P9" t="s">
        <v>80</v>
      </c>
      <c r="Q9" s="3">
        <v>1</v>
      </c>
      <c r="R9" s="11"/>
      <c r="S9" s="11"/>
      <c r="U9" s="1"/>
      <c r="V9" s="1"/>
    </row>
    <row r="10" spans="1:22">
      <c r="A10" s="17" t="s">
        <v>318</v>
      </c>
      <c r="B10" s="37">
        <v>6</v>
      </c>
      <c r="E10" s="154"/>
      <c r="F10" t="str">
        <f t="shared" si="1"/>
        <v>Dataman-Acquiring</v>
      </c>
      <c r="G10" s="11" t="s">
        <v>11</v>
      </c>
      <c r="H10" s="4" t="str">
        <f>P10&amp;$B$7&amp;"."&amp;Q10</f>
        <v>%I2.2</v>
      </c>
      <c r="M10" s="136"/>
      <c r="N10" s="165"/>
      <c r="O10" t="s">
        <v>297</v>
      </c>
      <c r="P10" t="s">
        <v>80</v>
      </c>
      <c r="Q10" s="3">
        <v>2</v>
      </c>
      <c r="R10" s="11"/>
      <c r="S10" s="11"/>
      <c r="U10" s="1"/>
      <c r="V10" s="1"/>
    </row>
    <row r="11" spans="1:22">
      <c r="A11" s="17" t="s">
        <v>319</v>
      </c>
      <c r="B11" s="37">
        <v>4</v>
      </c>
      <c r="E11" s="154"/>
      <c r="F11" t="str">
        <f t="shared" si="1"/>
        <v>Dataman-MissedAcq</v>
      </c>
      <c r="G11" s="11" t="s">
        <v>11</v>
      </c>
      <c r="H11" s="4" t="str">
        <f>P11&amp;$B$7&amp;"."&amp;Q11</f>
        <v>%I2.3</v>
      </c>
      <c r="M11" s="136"/>
      <c r="N11" s="165"/>
      <c r="O11" t="s">
        <v>277</v>
      </c>
      <c r="P11" t="s">
        <v>80</v>
      </c>
      <c r="Q11" s="3">
        <v>3</v>
      </c>
      <c r="R11" s="11"/>
      <c r="S11" s="11"/>
      <c r="U11" s="1"/>
      <c r="V11" s="1"/>
    </row>
    <row r="12" spans="1:22">
      <c r="A12" s="17" t="s">
        <v>194</v>
      </c>
      <c r="B12" s="37">
        <v>256</v>
      </c>
      <c r="E12" s="154"/>
      <c r="F12" t="str">
        <f t="shared" si="1"/>
        <v>Dataman-TriggerID</v>
      </c>
      <c r="G12" s="11" t="s">
        <v>87</v>
      </c>
      <c r="H12" s="4" t="str">
        <f>P12&amp;Q12</f>
        <v>%IW3</v>
      </c>
      <c r="M12" s="136"/>
      <c r="N12" s="165"/>
      <c r="O12" t="s">
        <v>320</v>
      </c>
      <c r="P12" t="s">
        <v>89</v>
      </c>
      <c r="Q12" s="3">
        <f>SUM(B7+1)</f>
        <v>3</v>
      </c>
      <c r="R12" s="11"/>
      <c r="S12" s="11"/>
      <c r="U12" s="1"/>
      <c r="V12" s="1"/>
    </row>
    <row r="13" spans="1:22" ht="15" thickBot="1">
      <c r="A13" s="18" t="s">
        <v>321</v>
      </c>
      <c r="B13" s="38">
        <v>256</v>
      </c>
      <c r="E13" s="154" t="s">
        <v>316</v>
      </c>
      <c r="F13" s="24" t="str">
        <f t="shared" si="1"/>
        <v>Dataman-BufferResultsEnable</v>
      </c>
      <c r="G13" s="10" t="s">
        <v>11</v>
      </c>
      <c r="H13" s="25" t="str">
        <f>P13&amp;$B$8&amp;"."&amp;Q13</f>
        <v>%Q3.0</v>
      </c>
      <c r="M13" s="136"/>
      <c r="N13" s="165" t="s">
        <v>316</v>
      </c>
      <c r="O13" t="s">
        <v>16</v>
      </c>
      <c r="P13" t="s">
        <v>14</v>
      </c>
      <c r="Q13" s="3">
        <v>0</v>
      </c>
      <c r="R13" s="11"/>
      <c r="S13" s="11"/>
      <c r="U13" s="1"/>
      <c r="V13" s="1"/>
    </row>
    <row r="14" spans="1:22">
      <c r="A14" s="15"/>
      <c r="B14" s="1"/>
      <c r="E14" s="154"/>
      <c r="F14" s="8" t="str">
        <f t="shared" si="1"/>
        <v>Dataman-ResultsAck</v>
      </c>
      <c r="G14" s="11" t="s">
        <v>11</v>
      </c>
      <c r="H14" s="4" t="str">
        <f>P14&amp;$B$8&amp;"."&amp;Q14</f>
        <v>%Q3.1</v>
      </c>
      <c r="M14" s="136"/>
      <c r="N14" s="165"/>
      <c r="O14" t="s">
        <v>322</v>
      </c>
      <c r="P14" t="s">
        <v>14</v>
      </c>
      <c r="Q14" s="3">
        <v>1</v>
      </c>
      <c r="R14" s="11"/>
      <c r="S14" s="11"/>
      <c r="U14" s="1"/>
      <c r="V14" s="1"/>
    </row>
    <row r="15" spans="1:22">
      <c r="E15" s="154" t="s">
        <v>317</v>
      </c>
      <c r="F15" s="24" t="str">
        <f t="shared" si="1"/>
        <v>Dataman-Decoding</v>
      </c>
      <c r="G15" s="10" t="s">
        <v>11</v>
      </c>
      <c r="H15" s="25" t="str">
        <f>P15&amp;$B$9&amp;"."&amp;Q15</f>
        <v>%I5.0</v>
      </c>
      <c r="M15" s="136"/>
      <c r="N15" s="165" t="s">
        <v>317</v>
      </c>
      <c r="O15" t="s">
        <v>323</v>
      </c>
      <c r="P15" t="s">
        <v>80</v>
      </c>
      <c r="Q15" s="3">
        <v>0</v>
      </c>
      <c r="R15" s="11"/>
      <c r="S15" s="11"/>
      <c r="U15" s="1"/>
      <c r="V15" s="1"/>
    </row>
    <row r="16" spans="1:22" ht="15" thickBot="1">
      <c r="A16" s="15"/>
      <c r="E16" s="154"/>
      <c r="F16" s="8" t="str">
        <f t="shared" si="1"/>
        <v>Dataman-Decode Complete</v>
      </c>
      <c r="G16" s="11" t="s">
        <v>11</v>
      </c>
      <c r="H16" s="4" t="str">
        <f>P16&amp;$B$9&amp;"."&amp;Q16</f>
        <v>%I5.1</v>
      </c>
      <c r="M16" s="136"/>
      <c r="N16" s="165"/>
      <c r="O16" t="s">
        <v>324</v>
      </c>
      <c r="P16" t="s">
        <v>80</v>
      </c>
      <c r="Q16" s="3">
        <v>1</v>
      </c>
      <c r="R16" s="11"/>
      <c r="S16" s="11"/>
      <c r="U16" s="1"/>
      <c r="V16" s="1"/>
    </row>
    <row r="17" spans="1:22">
      <c r="A17" s="138" t="s">
        <v>40</v>
      </c>
      <c r="B17" s="139"/>
      <c r="E17" s="154"/>
      <c r="F17" t="str">
        <f t="shared" si="1"/>
        <v>Dataman-Results Buffer Overrun</v>
      </c>
      <c r="G17" s="11" t="s">
        <v>11</v>
      </c>
      <c r="H17" s="4" t="str">
        <f>P17&amp;$B$9&amp;"."&amp;Q17</f>
        <v>%I5.2</v>
      </c>
      <c r="M17" s="136"/>
      <c r="N17" s="165"/>
      <c r="O17" t="s">
        <v>325</v>
      </c>
      <c r="P17" t="s">
        <v>80</v>
      </c>
      <c r="Q17" s="3">
        <v>2</v>
      </c>
      <c r="R17" s="11"/>
      <c r="S17" s="11"/>
      <c r="U17" s="1"/>
      <c r="V17" s="1"/>
    </row>
    <row r="18" spans="1:22">
      <c r="A18" s="140" t="s">
        <v>42</v>
      </c>
      <c r="B18" s="141"/>
      <c r="E18" s="154"/>
      <c r="F18" t="str">
        <f t="shared" si="1"/>
        <v>Dataman-Results Available</v>
      </c>
      <c r="G18" s="11" t="s">
        <v>11</v>
      </c>
      <c r="H18" s="4" t="str">
        <f>P18&amp;$B$9&amp;"."&amp;Q18</f>
        <v>%I5.3</v>
      </c>
      <c r="M18" s="136"/>
      <c r="N18" s="165"/>
      <c r="O18" t="s">
        <v>326</v>
      </c>
      <c r="P18" t="s">
        <v>80</v>
      </c>
      <c r="Q18" s="3">
        <v>3</v>
      </c>
      <c r="R18" s="11"/>
      <c r="S18" s="11"/>
      <c r="U18" s="1"/>
      <c r="V18" s="1"/>
    </row>
    <row r="19" spans="1:22">
      <c r="A19" s="140" t="s">
        <v>327</v>
      </c>
      <c r="B19" s="141"/>
      <c r="E19" s="154"/>
      <c r="F19" t="str">
        <f t="shared" si="1"/>
        <v>Dataman-General Fault</v>
      </c>
      <c r="G19" s="11" t="s">
        <v>11</v>
      </c>
      <c r="H19" s="4" t="str">
        <f>P19&amp;$B$9&amp;"."&amp;Q19</f>
        <v>%I5.7</v>
      </c>
      <c r="M19" s="136"/>
      <c r="N19" s="165"/>
      <c r="O19" t="s">
        <v>328</v>
      </c>
      <c r="P19" t="s">
        <v>80</v>
      </c>
      <c r="Q19" s="3">
        <v>7</v>
      </c>
      <c r="R19" s="11"/>
      <c r="S19" s="11"/>
      <c r="U19" s="1"/>
      <c r="V19" s="30"/>
    </row>
    <row r="20" spans="1:22">
      <c r="A20" s="140" t="s">
        <v>329</v>
      </c>
      <c r="B20" s="141"/>
      <c r="E20" s="154" t="s">
        <v>330</v>
      </c>
      <c r="F20" s="24" t="str">
        <f t="shared" si="1"/>
        <v>Dataman-Train Code</v>
      </c>
      <c r="G20" s="10" t="s">
        <v>11</v>
      </c>
      <c r="H20" s="25" t="str">
        <f>P20&amp;$B$10&amp;"."&amp;Q20</f>
        <v>%Q6.0</v>
      </c>
      <c r="M20" s="136"/>
      <c r="N20" s="165" t="s">
        <v>330</v>
      </c>
      <c r="O20" t="s">
        <v>331</v>
      </c>
      <c r="P20" t="s">
        <v>14</v>
      </c>
      <c r="Q20" s="3">
        <v>0</v>
      </c>
      <c r="R20" s="11"/>
      <c r="S20" s="11"/>
      <c r="U20" s="1"/>
      <c r="V20" s="1"/>
    </row>
    <row r="21" spans="1:22">
      <c r="A21" s="140" t="s">
        <v>49</v>
      </c>
      <c r="B21" s="141"/>
      <c r="E21" s="154"/>
      <c r="F21" s="8" t="str">
        <f t="shared" si="1"/>
        <v>Dataman-Train Match String</v>
      </c>
      <c r="G21" s="11" t="s">
        <v>11</v>
      </c>
      <c r="H21" s="4" t="str">
        <f t="shared" ref="H21:H25" si="2">P21&amp;$B$10&amp;"."&amp;Q21</f>
        <v>%Q6.1</v>
      </c>
      <c r="M21" s="136"/>
      <c r="N21" s="165"/>
      <c r="O21" t="s">
        <v>332</v>
      </c>
      <c r="P21" t="s">
        <v>14</v>
      </c>
      <c r="Q21" s="3">
        <v>1</v>
      </c>
      <c r="R21" s="11"/>
      <c r="S21" s="11"/>
      <c r="U21" s="1"/>
      <c r="V21" s="1"/>
    </row>
    <row r="22" spans="1:22">
      <c r="A22" s="140" t="s">
        <v>51</v>
      </c>
      <c r="B22" s="141"/>
      <c r="E22" s="154"/>
      <c r="F22" t="str">
        <f t="shared" si="1"/>
        <v>Dataman-Train Focus</v>
      </c>
      <c r="G22" s="11" t="s">
        <v>11</v>
      </c>
      <c r="H22" s="4" t="str">
        <f t="shared" si="2"/>
        <v>%Q6.2</v>
      </c>
      <c r="M22" s="136"/>
      <c r="N22" s="165"/>
      <c r="O22" t="s">
        <v>333</v>
      </c>
      <c r="P22" t="s">
        <v>14</v>
      </c>
      <c r="Q22" s="3">
        <v>2</v>
      </c>
      <c r="R22" s="11"/>
      <c r="S22" s="11"/>
      <c r="U22" s="1"/>
      <c r="V22" s="1"/>
    </row>
    <row r="23" spans="1:22" ht="15" thickBot="1">
      <c r="A23" s="142" t="s">
        <v>53</v>
      </c>
      <c r="B23" s="143"/>
      <c r="E23" s="154"/>
      <c r="F23" t="str">
        <f t="shared" si="1"/>
        <v>Dataman-Train Brightness</v>
      </c>
      <c r="G23" s="11" t="s">
        <v>11</v>
      </c>
      <c r="H23" s="4" t="str">
        <f t="shared" si="2"/>
        <v>%Q6.3</v>
      </c>
      <c r="M23" s="136"/>
      <c r="N23" s="165"/>
      <c r="O23" t="s">
        <v>334</v>
      </c>
      <c r="P23" t="s">
        <v>14</v>
      </c>
      <c r="Q23" s="3">
        <v>3</v>
      </c>
      <c r="R23" s="11"/>
      <c r="S23" s="11"/>
      <c r="U23" s="1"/>
      <c r="V23" s="1"/>
    </row>
    <row r="24" spans="1:22" ht="15" thickBot="1">
      <c r="A24" s="15"/>
      <c r="E24" s="154"/>
      <c r="F24" t="str">
        <f t="shared" si="1"/>
        <v>Dataman-Untrain</v>
      </c>
      <c r="G24" s="11" t="s">
        <v>11</v>
      </c>
      <c r="H24" s="4" t="str">
        <f t="shared" si="2"/>
        <v>%Q6.4</v>
      </c>
      <c r="M24" s="136"/>
      <c r="N24" s="165"/>
      <c r="O24" t="s">
        <v>335</v>
      </c>
      <c r="P24" t="s">
        <v>14</v>
      </c>
      <c r="Q24" s="3">
        <v>4</v>
      </c>
      <c r="R24" s="11"/>
      <c r="S24" s="11"/>
      <c r="U24" s="1"/>
      <c r="V24" s="1"/>
    </row>
    <row r="25" spans="1:22">
      <c r="A25" s="149" t="s">
        <v>56</v>
      </c>
      <c r="B25" s="150"/>
      <c r="E25" s="154"/>
      <c r="F25" t="str">
        <f t="shared" si="1"/>
        <v>Dataman-Execute DMCC</v>
      </c>
      <c r="G25" s="11" t="s">
        <v>11</v>
      </c>
      <c r="H25" s="4" t="str">
        <f t="shared" si="2"/>
        <v>%Q6.6</v>
      </c>
      <c r="M25" s="136"/>
      <c r="N25" s="165"/>
      <c r="O25" t="s">
        <v>336</v>
      </c>
      <c r="P25" t="s">
        <v>14</v>
      </c>
      <c r="Q25" s="3">
        <v>6</v>
      </c>
      <c r="R25" s="11"/>
      <c r="S25" s="11"/>
      <c r="U25" s="1"/>
      <c r="V25" s="1"/>
    </row>
    <row r="26" spans="1:22">
      <c r="A26" s="151" t="e" vm="1">
        <v>#VALUE!</v>
      </c>
      <c r="B26" s="152"/>
      <c r="E26" s="154"/>
      <c r="F26" t="str">
        <f t="shared" si="1"/>
        <v>Dataman-Set Match String</v>
      </c>
      <c r="G26" s="11" t="s">
        <v>11</v>
      </c>
      <c r="H26" s="4" t="str">
        <f>P26&amp;$B$10&amp;"."&amp;Q26</f>
        <v>%Q6.7</v>
      </c>
      <c r="M26" s="136"/>
      <c r="N26" s="165"/>
      <c r="O26" t="s">
        <v>337</v>
      </c>
      <c r="P26" t="s">
        <v>14</v>
      </c>
      <c r="Q26" s="3">
        <v>7</v>
      </c>
      <c r="R26" s="11"/>
      <c r="S26" s="11"/>
      <c r="U26" s="1"/>
      <c r="V26" s="1"/>
    </row>
    <row r="27" spans="1:22">
      <c r="A27" s="147" t="s">
        <v>529</v>
      </c>
      <c r="B27" s="148"/>
      <c r="E27" s="154" t="s">
        <v>338</v>
      </c>
      <c r="F27" s="24" t="str">
        <f t="shared" si="1"/>
        <v>Dataman-Train Code Ack</v>
      </c>
      <c r="G27" s="10" t="s">
        <v>11</v>
      </c>
      <c r="H27" s="25" t="str">
        <f>P27&amp;$B$11&amp;"."&amp;Q27</f>
        <v>%I4.0</v>
      </c>
      <c r="M27" s="136"/>
      <c r="N27" s="165" t="s">
        <v>338</v>
      </c>
      <c r="O27" t="s">
        <v>339</v>
      </c>
      <c r="P27" t="s">
        <v>80</v>
      </c>
      <c r="Q27" s="3">
        <v>0</v>
      </c>
      <c r="R27" s="11"/>
      <c r="S27" s="11"/>
      <c r="U27" s="1"/>
      <c r="V27" s="1"/>
    </row>
    <row r="28" spans="1:22">
      <c r="A28" s="153" t="s">
        <v>530</v>
      </c>
      <c r="B28" s="148"/>
      <c r="E28" s="154"/>
      <c r="F28" t="str">
        <f t="shared" si="1"/>
        <v>Dataman-Train Match String Ack</v>
      </c>
      <c r="G28" s="11" t="s">
        <v>11</v>
      </c>
      <c r="H28" s="4" t="str">
        <f t="shared" ref="H28:H33" si="3">P28&amp;$B$11&amp;"."&amp;Q28</f>
        <v>%I4.1</v>
      </c>
      <c r="M28" s="136"/>
      <c r="N28" s="165"/>
      <c r="O28" t="s">
        <v>340</v>
      </c>
      <c r="P28" t="s">
        <v>80</v>
      </c>
      <c r="Q28" s="3">
        <v>1</v>
      </c>
      <c r="R28" s="11"/>
      <c r="S28" s="11"/>
      <c r="U28" s="1"/>
      <c r="V28" s="1"/>
    </row>
    <row r="29" spans="1:22">
      <c r="A29" s="153" t="s">
        <v>531</v>
      </c>
      <c r="B29" s="148"/>
      <c r="E29" s="154"/>
      <c r="F29" t="str">
        <f t="shared" si="1"/>
        <v>Dataman-Train Focus Ack</v>
      </c>
      <c r="G29" s="11" t="s">
        <v>11</v>
      </c>
      <c r="H29" s="4" t="str">
        <f t="shared" si="3"/>
        <v>%I4.2</v>
      </c>
      <c r="M29" s="136"/>
      <c r="N29" s="165"/>
      <c r="O29" t="s">
        <v>341</v>
      </c>
      <c r="P29" t="s">
        <v>80</v>
      </c>
      <c r="Q29" s="3">
        <v>2</v>
      </c>
      <c r="R29" s="11"/>
      <c r="S29" s="11"/>
      <c r="U29" s="1"/>
      <c r="V29" s="1"/>
    </row>
    <row r="30" spans="1:22" ht="15" thickBot="1">
      <c r="A30" s="145" t="s">
        <v>532</v>
      </c>
      <c r="B30" s="146"/>
      <c r="E30" s="154"/>
      <c r="F30" t="str">
        <f t="shared" si="1"/>
        <v>Dataman-Train Brightness Ack</v>
      </c>
      <c r="G30" s="11" t="s">
        <v>11</v>
      </c>
      <c r="H30" s="4" t="str">
        <f t="shared" si="3"/>
        <v>%I4.3</v>
      </c>
      <c r="M30" s="136"/>
      <c r="N30" s="165"/>
      <c r="O30" t="s">
        <v>342</v>
      </c>
      <c r="P30" t="s">
        <v>80</v>
      </c>
      <c r="Q30" s="3">
        <v>3</v>
      </c>
      <c r="R30" s="11"/>
      <c r="S30" s="11"/>
      <c r="U30" s="1"/>
      <c r="V30" s="1"/>
    </row>
    <row r="31" spans="1:22">
      <c r="A31" s="121"/>
      <c r="B31" s="121"/>
      <c r="E31" s="154"/>
      <c r="F31" t="str">
        <f t="shared" si="1"/>
        <v>Dataman-Untrain Ack</v>
      </c>
      <c r="G31" s="11" t="s">
        <v>11</v>
      </c>
      <c r="H31" s="4" t="str">
        <f t="shared" si="3"/>
        <v>%I4.4</v>
      </c>
      <c r="M31" s="136"/>
      <c r="N31" s="165"/>
      <c r="O31" t="s">
        <v>343</v>
      </c>
      <c r="P31" t="s">
        <v>80</v>
      </c>
      <c r="Q31" s="3">
        <v>4</v>
      </c>
      <c r="R31" s="11"/>
      <c r="S31" s="11"/>
      <c r="U31" s="1"/>
      <c r="V31" s="1"/>
    </row>
    <row r="32" spans="1:22">
      <c r="A32" s="122" t="s">
        <v>67</v>
      </c>
      <c r="B32" s="121"/>
      <c r="E32" s="154"/>
      <c r="F32" t="str">
        <f t="shared" si="1"/>
        <v>Dataman-Execute DMCC Ack</v>
      </c>
      <c r="G32" s="11" t="s">
        <v>11</v>
      </c>
      <c r="H32" s="4" t="str">
        <f t="shared" si="3"/>
        <v>%I4.6</v>
      </c>
      <c r="M32" s="136"/>
      <c r="N32" s="165"/>
      <c r="O32" t="s">
        <v>344</v>
      </c>
      <c r="P32" t="s">
        <v>80</v>
      </c>
      <c r="Q32" s="3">
        <v>6</v>
      </c>
      <c r="R32" s="11"/>
      <c r="S32" s="11"/>
      <c r="U32" s="1"/>
      <c r="V32" s="1"/>
    </row>
    <row r="33" spans="1:22">
      <c r="A33" s="54" t="str">
        <f>F6</f>
        <v>Dataman-TriggerEnable</v>
      </c>
      <c r="B33" s="54" t="str">
        <f>G6</f>
        <v>Bool</v>
      </c>
      <c r="C33" s="54" t="str">
        <f>H6</f>
        <v>%Q2.0</v>
      </c>
      <c r="E33" s="154"/>
      <c r="F33" t="str">
        <f t="shared" si="1"/>
        <v>Dataman-Set Match String Ack</v>
      </c>
      <c r="G33" s="11" t="s">
        <v>11</v>
      </c>
      <c r="H33" s="4" t="str">
        <f t="shared" si="3"/>
        <v>%I4.7</v>
      </c>
      <c r="M33" s="136"/>
      <c r="N33" s="165"/>
      <c r="O33" t="s">
        <v>345</v>
      </c>
      <c r="P33" t="s">
        <v>80</v>
      </c>
      <c r="Q33" s="3">
        <v>7</v>
      </c>
      <c r="R33" s="11"/>
      <c r="S33" s="11"/>
      <c r="U33" s="1"/>
      <c r="V33" s="1"/>
    </row>
    <row r="34" spans="1:22">
      <c r="A34" s="120" t="str">
        <f>F8</f>
        <v>Dataman-TriggerReady</v>
      </c>
      <c r="B34" s="54" t="str">
        <f>G8</f>
        <v>Bool</v>
      </c>
      <c r="C34" s="54" t="str">
        <f>H8</f>
        <v>%I2.0</v>
      </c>
      <c r="E34" s="154" t="s">
        <v>194</v>
      </c>
      <c r="F34" s="24" t="str">
        <f t="shared" si="1"/>
        <v>Dataman-UserData Option</v>
      </c>
      <c r="G34" s="10" t="s">
        <v>87</v>
      </c>
      <c r="H34" s="25" t="str">
        <f>P34&amp;Q34</f>
        <v>%QW256</v>
      </c>
      <c r="M34" s="136"/>
      <c r="N34" s="165" t="s">
        <v>194</v>
      </c>
      <c r="O34" t="s">
        <v>346</v>
      </c>
      <c r="P34" t="s">
        <v>24</v>
      </c>
      <c r="Q34" s="3">
        <f>$B$12</f>
        <v>256</v>
      </c>
      <c r="R34" s="11"/>
      <c r="S34" s="11"/>
      <c r="U34" s="1"/>
      <c r="V34" s="1"/>
    </row>
    <row r="35" spans="1:22">
      <c r="A35" s="120" t="str">
        <f>F7</f>
        <v>Dataman-Trigger</v>
      </c>
      <c r="B35" s="54" t="str">
        <f>G7</f>
        <v>Bool</v>
      </c>
      <c r="C35" s="54" t="str">
        <f>H7</f>
        <v>%Q2.1</v>
      </c>
      <c r="E35" s="154"/>
      <c r="F35" s="8" t="str">
        <f t="shared" si="1"/>
        <v>Dataman-UserData Length</v>
      </c>
      <c r="G35" s="11" t="s">
        <v>87</v>
      </c>
      <c r="H35" s="4" t="str">
        <f>P35&amp;Q35</f>
        <v>%QW258</v>
      </c>
      <c r="M35" s="136"/>
      <c r="N35" s="165"/>
      <c r="O35" t="s">
        <v>347</v>
      </c>
      <c r="P35" t="s">
        <v>24</v>
      </c>
      <c r="Q35" s="3">
        <f>SUM($B$12+2)</f>
        <v>258</v>
      </c>
      <c r="R35" s="11"/>
      <c r="S35" s="11"/>
      <c r="U35" s="1"/>
      <c r="V35" s="1"/>
    </row>
    <row r="36" spans="1:22">
      <c r="A36" s="120" t="str">
        <f>F9</f>
        <v>Dataman-TriggerAck</v>
      </c>
      <c r="B36" s="54" t="str">
        <f>G9</f>
        <v>Bool</v>
      </c>
      <c r="C36" s="54" t="str">
        <f>H9</f>
        <v>%I2.1</v>
      </c>
      <c r="E36" s="154"/>
      <c r="F36" t="str">
        <f t="shared" si="1"/>
        <v>Dataman-UserData[0]</v>
      </c>
      <c r="G36" s="11" t="s">
        <v>235</v>
      </c>
      <c r="H36" s="4" t="str">
        <f t="shared" ref="H36:H76" si="4">P36&amp;Q36</f>
        <v>%QB260</v>
      </c>
      <c r="M36" s="136"/>
      <c r="N36" s="165"/>
      <c r="O36" t="s">
        <v>237</v>
      </c>
      <c r="P36" t="s">
        <v>238</v>
      </c>
      <c r="Q36" s="3">
        <f>SUM(B12+4)</f>
        <v>260</v>
      </c>
      <c r="R36" s="11"/>
      <c r="S36" s="11"/>
      <c r="U36" s="1"/>
      <c r="V36" s="1"/>
    </row>
    <row r="37" spans="1:22">
      <c r="A37" s="120" t="str">
        <f>F12</f>
        <v>Dataman-TriggerID</v>
      </c>
      <c r="B37" s="54" t="s">
        <v>87</v>
      </c>
      <c r="C37" s="54" t="str">
        <f>H12</f>
        <v>%IW3</v>
      </c>
      <c r="E37" s="154"/>
      <c r="F37" t="str">
        <f t="shared" si="1"/>
        <v>Dataman-UserData[1]</v>
      </c>
      <c r="G37" s="11" t="s">
        <v>235</v>
      </c>
      <c r="H37" s="4" t="str">
        <f t="shared" si="4"/>
        <v>%QB261</v>
      </c>
      <c r="M37" s="136"/>
      <c r="N37" s="165"/>
      <c r="O37" t="s">
        <v>239</v>
      </c>
      <c r="P37" t="s">
        <v>238</v>
      </c>
      <c r="Q37" s="3">
        <f>SUM(Q36+1)</f>
        <v>261</v>
      </c>
      <c r="R37" s="11"/>
      <c r="S37" s="11"/>
      <c r="U37" s="1"/>
      <c r="V37" s="1"/>
    </row>
    <row r="38" spans="1:22">
      <c r="A38" s="120" t="str">
        <f>F11</f>
        <v>Dataman-MissedAcq</v>
      </c>
      <c r="B38" s="54" t="str">
        <f>G11</f>
        <v>Bool</v>
      </c>
      <c r="C38" s="54" t="str">
        <f>H11</f>
        <v>%I2.3</v>
      </c>
      <c r="E38" s="154"/>
      <c r="F38" t="str">
        <f t="shared" si="1"/>
        <v>Dataman-UserData[2]</v>
      </c>
      <c r="G38" s="11" t="s">
        <v>235</v>
      </c>
      <c r="H38" s="4" t="str">
        <f t="shared" si="4"/>
        <v>%QB262</v>
      </c>
      <c r="M38" s="136"/>
      <c r="N38" s="165"/>
      <c r="O38" t="s">
        <v>240</v>
      </c>
      <c r="P38" t="s">
        <v>238</v>
      </c>
      <c r="Q38" s="3">
        <f>SUM(Q37+1)</f>
        <v>262</v>
      </c>
      <c r="R38" s="11"/>
      <c r="S38" s="11"/>
      <c r="U38" s="1"/>
      <c r="V38" s="1"/>
    </row>
    <row r="39" spans="1:22">
      <c r="A39" s="120" t="str">
        <f>F10</f>
        <v>Dataman-Acquiring</v>
      </c>
      <c r="B39" s="54" t="str">
        <f>G10</f>
        <v>Bool</v>
      </c>
      <c r="C39" s="54" t="str">
        <f>H10</f>
        <v>%I2.2</v>
      </c>
      <c r="E39" s="154"/>
      <c r="F39" t="str">
        <f t="shared" si="1"/>
        <v>Dataman-UserData[3]</v>
      </c>
      <c r="G39" s="11" t="s">
        <v>235</v>
      </c>
      <c r="H39" s="4" t="str">
        <f t="shared" si="4"/>
        <v>%QB263</v>
      </c>
      <c r="M39" s="136"/>
      <c r="N39" s="165"/>
      <c r="O39" t="s">
        <v>241</v>
      </c>
      <c r="P39" t="s">
        <v>238</v>
      </c>
      <c r="Q39" s="3">
        <f t="shared" ref="Q39:Q51" si="5">SUM(Q38+1)</f>
        <v>263</v>
      </c>
      <c r="R39" s="11"/>
      <c r="S39" s="11"/>
      <c r="U39" s="1"/>
      <c r="V39" s="1"/>
    </row>
    <row r="40" spans="1:22">
      <c r="A40" s="54" t="str">
        <f t="shared" ref="A40:C41" si="6">F15</f>
        <v>Dataman-Decoding</v>
      </c>
      <c r="B40" s="54" t="str">
        <f t="shared" si="6"/>
        <v>Bool</v>
      </c>
      <c r="C40" s="54" t="str">
        <f t="shared" si="6"/>
        <v>%I5.0</v>
      </c>
      <c r="E40" s="154"/>
      <c r="F40" t="str">
        <f t="shared" si="1"/>
        <v>Dataman-UserData[4]</v>
      </c>
      <c r="G40" s="11" t="s">
        <v>235</v>
      </c>
      <c r="H40" s="4" t="str">
        <f t="shared" si="4"/>
        <v>%QB264</v>
      </c>
      <c r="M40" s="136"/>
      <c r="N40" s="165"/>
      <c r="O40" t="s">
        <v>242</v>
      </c>
      <c r="P40" t="s">
        <v>238</v>
      </c>
      <c r="Q40" s="3">
        <f t="shared" si="5"/>
        <v>264</v>
      </c>
      <c r="R40" s="11"/>
      <c r="S40" s="11"/>
      <c r="U40" s="1"/>
      <c r="V40" s="1"/>
    </row>
    <row r="41" spans="1:22">
      <c r="A41" s="120" t="str">
        <f t="shared" si="6"/>
        <v>Dataman-Decode Complete</v>
      </c>
      <c r="B41" s="54" t="str">
        <f t="shared" si="6"/>
        <v>Bool</v>
      </c>
      <c r="C41" s="54" t="str">
        <f t="shared" si="6"/>
        <v>%I5.1</v>
      </c>
      <c r="E41" s="154"/>
      <c r="F41" t="str">
        <f t="shared" si="1"/>
        <v>Dataman-UserData[5]</v>
      </c>
      <c r="G41" s="11" t="s">
        <v>235</v>
      </c>
      <c r="H41" s="4" t="str">
        <f t="shared" si="4"/>
        <v>%QB265</v>
      </c>
      <c r="M41" s="136"/>
      <c r="N41" s="165"/>
      <c r="O41" t="s">
        <v>243</v>
      </c>
      <c r="P41" t="s">
        <v>238</v>
      </c>
      <c r="Q41" s="3">
        <f t="shared" si="5"/>
        <v>265</v>
      </c>
      <c r="R41" s="11"/>
      <c r="S41" s="11"/>
      <c r="U41" s="1"/>
      <c r="V41" s="1"/>
    </row>
    <row r="42" spans="1:22">
      <c r="A42" s="120" t="str">
        <f t="shared" ref="A42:C43" si="7">F13</f>
        <v>Dataman-BufferResultsEnable</v>
      </c>
      <c r="B42" s="54" t="str">
        <f t="shared" si="7"/>
        <v>Bool</v>
      </c>
      <c r="C42" s="54" t="str">
        <f t="shared" si="7"/>
        <v>%Q3.0</v>
      </c>
      <c r="E42" s="154"/>
      <c r="F42" t="str">
        <f t="shared" si="1"/>
        <v>Dataman-UserData[6]</v>
      </c>
      <c r="G42" s="11" t="s">
        <v>235</v>
      </c>
      <c r="H42" s="4" t="str">
        <f t="shared" si="4"/>
        <v>%QB266</v>
      </c>
      <c r="M42" s="136"/>
      <c r="N42" s="165"/>
      <c r="O42" t="s">
        <v>244</v>
      </c>
      <c r="P42" t="s">
        <v>238</v>
      </c>
      <c r="Q42" s="3">
        <f t="shared" si="5"/>
        <v>266</v>
      </c>
      <c r="R42" s="11"/>
      <c r="S42" s="11"/>
      <c r="U42" s="1"/>
      <c r="V42" s="1"/>
    </row>
    <row r="43" spans="1:22">
      <c r="A43" s="120" t="str">
        <f t="shared" si="7"/>
        <v>Dataman-ResultsAck</v>
      </c>
      <c r="B43" s="54" t="str">
        <f t="shared" si="7"/>
        <v>Bool</v>
      </c>
      <c r="C43" s="54" t="str">
        <f t="shared" si="7"/>
        <v>%Q3.1</v>
      </c>
      <c r="E43" s="154"/>
      <c r="F43" t="str">
        <f t="shared" si="1"/>
        <v>Dataman-UserData[7]</v>
      </c>
      <c r="G43" s="11" t="s">
        <v>235</v>
      </c>
      <c r="H43" s="4" t="str">
        <f t="shared" si="4"/>
        <v>%QB267</v>
      </c>
      <c r="M43" s="136"/>
      <c r="N43" s="165"/>
      <c r="O43" t="s">
        <v>245</v>
      </c>
      <c r="P43" t="s">
        <v>238</v>
      </c>
      <c r="Q43" s="3">
        <f t="shared" si="5"/>
        <v>267</v>
      </c>
      <c r="R43" s="11"/>
      <c r="S43" s="11"/>
      <c r="U43" s="1"/>
      <c r="V43" s="1"/>
    </row>
    <row r="44" spans="1:22">
      <c r="A44" s="120" t="str">
        <f t="shared" ref="A44:C47" si="8">F17</f>
        <v>Dataman-Results Buffer Overrun</v>
      </c>
      <c r="B44" s="54" t="str">
        <f t="shared" si="8"/>
        <v>Bool</v>
      </c>
      <c r="C44" s="54" t="str">
        <f t="shared" si="8"/>
        <v>%I5.2</v>
      </c>
      <c r="E44" s="154"/>
      <c r="F44" t="str">
        <f t="shared" si="1"/>
        <v>Dataman-UserData[8]</v>
      </c>
      <c r="G44" s="11" t="s">
        <v>235</v>
      </c>
      <c r="H44" s="4" t="str">
        <f t="shared" si="4"/>
        <v>%QB268</v>
      </c>
      <c r="M44" s="136"/>
      <c r="N44" s="165"/>
      <c r="O44" t="s">
        <v>246</v>
      </c>
      <c r="P44" t="s">
        <v>238</v>
      </c>
      <c r="Q44" s="3">
        <f t="shared" si="5"/>
        <v>268</v>
      </c>
      <c r="R44" s="11"/>
      <c r="S44" s="11"/>
      <c r="U44" s="1"/>
      <c r="V44" s="1"/>
    </row>
    <row r="45" spans="1:22">
      <c r="A45" s="120" t="str">
        <f t="shared" si="8"/>
        <v>Dataman-Results Available</v>
      </c>
      <c r="B45" s="54" t="str">
        <f t="shared" si="8"/>
        <v>Bool</v>
      </c>
      <c r="C45" s="54" t="str">
        <f t="shared" si="8"/>
        <v>%I5.3</v>
      </c>
      <c r="E45" s="154"/>
      <c r="F45" t="str">
        <f t="shared" si="1"/>
        <v>Dataman-UserData[9]</v>
      </c>
      <c r="G45" s="11" t="s">
        <v>235</v>
      </c>
      <c r="H45" s="4" t="str">
        <f t="shared" si="4"/>
        <v>%QB269</v>
      </c>
      <c r="M45" s="136"/>
      <c r="N45" s="165"/>
      <c r="O45" t="s">
        <v>247</v>
      </c>
      <c r="P45" t="s">
        <v>238</v>
      </c>
      <c r="Q45" s="3">
        <f t="shared" si="5"/>
        <v>269</v>
      </c>
      <c r="R45" s="11"/>
      <c r="S45" s="11"/>
      <c r="U45" s="1"/>
      <c r="V45" s="1"/>
    </row>
    <row r="46" spans="1:22">
      <c r="A46" s="120" t="str">
        <f t="shared" si="8"/>
        <v>Dataman-General Fault</v>
      </c>
      <c r="B46" s="54" t="str">
        <f t="shared" si="8"/>
        <v>Bool</v>
      </c>
      <c r="C46" s="54" t="str">
        <f t="shared" si="8"/>
        <v>%I5.7</v>
      </c>
      <c r="E46" s="154"/>
      <c r="F46" t="str">
        <f t="shared" si="1"/>
        <v>Dataman-UserData[10]</v>
      </c>
      <c r="G46" s="11" t="s">
        <v>235</v>
      </c>
      <c r="H46" s="4" t="str">
        <f t="shared" si="4"/>
        <v>%QB270</v>
      </c>
      <c r="M46" s="136"/>
      <c r="N46" s="165"/>
      <c r="O46" t="s">
        <v>248</v>
      </c>
      <c r="P46" t="s">
        <v>238</v>
      </c>
      <c r="Q46" s="3">
        <f t="shared" si="5"/>
        <v>270</v>
      </c>
      <c r="R46" s="11"/>
      <c r="S46" s="11"/>
      <c r="U46" s="1"/>
      <c r="V46" s="1"/>
    </row>
    <row r="47" spans="1:22">
      <c r="A47" s="120" t="str">
        <f t="shared" si="8"/>
        <v>Dataman-Train Code</v>
      </c>
      <c r="B47" s="54" t="str">
        <f t="shared" si="8"/>
        <v>Bool</v>
      </c>
      <c r="C47" s="54" t="str">
        <f t="shared" si="8"/>
        <v>%Q6.0</v>
      </c>
      <c r="E47" s="154"/>
      <c r="F47" t="str">
        <f t="shared" si="1"/>
        <v>Dataman-UserData[11]</v>
      </c>
      <c r="G47" s="11" t="s">
        <v>235</v>
      </c>
      <c r="H47" s="4" t="str">
        <f t="shared" si="4"/>
        <v>%QB271</v>
      </c>
      <c r="M47" s="136"/>
      <c r="N47" s="165"/>
      <c r="O47" t="s">
        <v>249</v>
      </c>
      <c r="P47" t="s">
        <v>238</v>
      </c>
      <c r="Q47" s="3">
        <f t="shared" si="5"/>
        <v>271</v>
      </c>
      <c r="R47" s="11"/>
      <c r="S47" s="11"/>
      <c r="U47" s="1"/>
      <c r="V47" s="1"/>
    </row>
    <row r="48" spans="1:22">
      <c r="A48" s="120" t="str">
        <f>F27</f>
        <v>Dataman-Train Code Ack</v>
      </c>
      <c r="B48" s="54" t="str">
        <f>G27</f>
        <v>Bool</v>
      </c>
      <c r="C48" s="54" t="str">
        <f>H27</f>
        <v>%I4.0</v>
      </c>
      <c r="E48" s="154"/>
      <c r="F48" t="str">
        <f t="shared" si="1"/>
        <v>Dataman-UserData[12]</v>
      </c>
      <c r="G48" s="11" t="s">
        <v>235</v>
      </c>
      <c r="H48" s="4" t="str">
        <f t="shared" si="4"/>
        <v>%QB272</v>
      </c>
      <c r="M48" s="136"/>
      <c r="N48" s="165"/>
      <c r="O48" t="s">
        <v>250</v>
      </c>
      <c r="P48" t="s">
        <v>238</v>
      </c>
      <c r="Q48" s="3">
        <f t="shared" si="5"/>
        <v>272</v>
      </c>
      <c r="R48" s="11"/>
      <c r="S48" s="11"/>
      <c r="U48" s="1"/>
      <c r="V48" s="1"/>
    </row>
    <row r="49" spans="1:22">
      <c r="A49" s="120" t="str">
        <f>F21</f>
        <v>Dataman-Train Match String</v>
      </c>
      <c r="B49" s="54" t="str">
        <f>G21</f>
        <v>Bool</v>
      </c>
      <c r="C49" s="54" t="str">
        <f>H21</f>
        <v>%Q6.1</v>
      </c>
      <c r="E49" s="154"/>
      <c r="F49" t="str">
        <f t="shared" si="1"/>
        <v>Dataman-UserData[13]</v>
      </c>
      <c r="G49" s="11" t="s">
        <v>235</v>
      </c>
      <c r="H49" s="4" t="str">
        <f t="shared" si="4"/>
        <v>%QB273</v>
      </c>
      <c r="M49" s="136"/>
      <c r="N49" s="165"/>
      <c r="O49" t="s">
        <v>251</v>
      </c>
      <c r="P49" t="s">
        <v>238</v>
      </c>
      <c r="Q49" s="3">
        <f t="shared" si="5"/>
        <v>273</v>
      </c>
      <c r="R49" s="11"/>
      <c r="S49" s="11"/>
      <c r="U49" s="1"/>
      <c r="V49" s="1"/>
    </row>
    <row r="50" spans="1:22">
      <c r="A50" s="120" t="str">
        <f>F28</f>
        <v>Dataman-Train Match String Ack</v>
      </c>
      <c r="B50" s="54" t="str">
        <f>G28</f>
        <v>Bool</v>
      </c>
      <c r="C50" s="54" t="str">
        <f>H28</f>
        <v>%I4.1</v>
      </c>
      <c r="E50" s="154"/>
      <c r="F50" t="str">
        <f t="shared" si="1"/>
        <v>Dataman-UserData[14]</v>
      </c>
      <c r="G50" s="11" t="s">
        <v>235</v>
      </c>
      <c r="H50" s="4" t="str">
        <f t="shared" si="4"/>
        <v>%QB274</v>
      </c>
      <c r="M50" s="136"/>
      <c r="N50" s="165"/>
      <c r="O50" t="s">
        <v>252</v>
      </c>
      <c r="P50" t="s">
        <v>238</v>
      </c>
      <c r="Q50" s="3">
        <f t="shared" si="5"/>
        <v>274</v>
      </c>
      <c r="R50" s="11"/>
      <c r="S50" s="11"/>
      <c r="U50" s="1"/>
      <c r="V50" s="1"/>
    </row>
    <row r="51" spans="1:22">
      <c r="A51" s="120" t="str">
        <f>F22</f>
        <v>Dataman-Train Focus</v>
      </c>
      <c r="B51" s="54" t="str">
        <f>G22</f>
        <v>Bool</v>
      </c>
      <c r="C51" s="54" t="str">
        <f>H22</f>
        <v>%Q6.2</v>
      </c>
      <c r="E51" s="154"/>
      <c r="F51" t="str">
        <f t="shared" si="1"/>
        <v>Dataman-UserData[15]</v>
      </c>
      <c r="G51" s="11" t="s">
        <v>235</v>
      </c>
      <c r="H51" s="4" t="str">
        <f t="shared" si="4"/>
        <v>%QB275</v>
      </c>
      <c r="M51" s="136"/>
      <c r="N51" s="165"/>
      <c r="O51" t="s">
        <v>253</v>
      </c>
      <c r="P51" t="s">
        <v>238</v>
      </c>
      <c r="Q51" s="3">
        <f t="shared" si="5"/>
        <v>275</v>
      </c>
      <c r="R51" s="11"/>
      <c r="S51" s="11"/>
      <c r="U51" s="1"/>
      <c r="V51" s="1"/>
    </row>
    <row r="52" spans="1:22">
      <c r="A52" s="120" t="str">
        <f>F29</f>
        <v>Dataman-Train Focus Ack</v>
      </c>
      <c r="B52" s="54" t="str">
        <f>G29</f>
        <v>Bool</v>
      </c>
      <c r="C52" s="54" t="str">
        <f>H29</f>
        <v>%I4.2</v>
      </c>
      <c r="E52" s="154" t="s">
        <v>321</v>
      </c>
      <c r="F52" s="24" t="str">
        <f t="shared" si="1"/>
        <v>Dataman-ResultID</v>
      </c>
      <c r="G52" s="10" t="s">
        <v>87</v>
      </c>
      <c r="H52" s="25" t="str">
        <f t="shared" si="4"/>
        <v>%IW256</v>
      </c>
      <c r="M52" s="136"/>
      <c r="N52" s="165" t="s">
        <v>348</v>
      </c>
      <c r="O52" t="s">
        <v>349</v>
      </c>
      <c r="P52" s="16" t="s">
        <v>89</v>
      </c>
      <c r="Q52" s="3">
        <f>$B$13</f>
        <v>256</v>
      </c>
      <c r="R52" s="11"/>
      <c r="S52" s="11"/>
      <c r="U52" s="1"/>
      <c r="V52" s="1"/>
    </row>
    <row r="53" spans="1:22">
      <c r="A53" s="120" t="str">
        <f>F23</f>
        <v>Dataman-Train Brightness</v>
      </c>
      <c r="B53" s="54" t="str">
        <f>G23</f>
        <v>Bool</v>
      </c>
      <c r="C53" s="54" t="str">
        <f>H23</f>
        <v>%Q6.3</v>
      </c>
      <c r="E53" s="154"/>
      <c r="F53" s="8" t="str">
        <f t="shared" si="1"/>
        <v>Dataman-Result Code</v>
      </c>
      <c r="G53" s="11" t="s">
        <v>87</v>
      </c>
      <c r="H53" s="4" t="str">
        <f t="shared" si="4"/>
        <v>%IW259</v>
      </c>
      <c r="M53" s="136"/>
      <c r="N53" s="165"/>
      <c r="O53" t="s">
        <v>350</v>
      </c>
      <c r="P53" s="16" t="s">
        <v>89</v>
      </c>
      <c r="Q53" s="3">
        <f>SUM($B$13+3)</f>
        <v>259</v>
      </c>
      <c r="R53" s="11"/>
      <c r="S53" s="11"/>
      <c r="U53" s="1"/>
      <c r="V53" s="1"/>
    </row>
    <row r="54" spans="1:22">
      <c r="A54" s="120" t="str">
        <f>F30</f>
        <v>Dataman-Train Brightness Ack</v>
      </c>
      <c r="B54" s="54" t="str">
        <f>G30</f>
        <v>Bool</v>
      </c>
      <c r="C54" s="54" t="str">
        <f>H30</f>
        <v>%I4.3</v>
      </c>
      <c r="E54" s="154"/>
      <c r="F54" s="8" t="str">
        <f t="shared" si="1"/>
        <v>Dataman-Read / No Read</v>
      </c>
      <c r="G54" s="11" t="s">
        <v>11</v>
      </c>
      <c r="H54" s="4" t="str">
        <f>P54&amp;$Q$53&amp;"."&amp;Q54</f>
        <v>%I259.0</v>
      </c>
      <c r="M54" s="136"/>
      <c r="N54" s="165"/>
      <c r="O54" t="s">
        <v>506</v>
      </c>
      <c r="P54" t="s">
        <v>80</v>
      </c>
      <c r="Q54" s="3">
        <v>0</v>
      </c>
      <c r="R54" s="11"/>
      <c r="S54" s="11"/>
      <c r="U54" s="1"/>
      <c r="V54" s="1"/>
    </row>
    <row r="55" spans="1:22">
      <c r="A55" s="120" t="str">
        <f>F24</f>
        <v>Dataman-Untrain</v>
      </c>
      <c r="B55" s="54" t="str">
        <f>G24</f>
        <v>Bool</v>
      </c>
      <c r="C55" s="54" t="str">
        <f>H24</f>
        <v>%Q6.4</v>
      </c>
      <c r="E55" s="154"/>
      <c r="F55" s="8" t="str">
        <f t="shared" si="1"/>
        <v>Dataman-Validated / Not Validated</v>
      </c>
      <c r="G55" s="11" t="s">
        <v>11</v>
      </c>
      <c r="H55" s="4" t="str">
        <f t="shared" ref="H55:H58" si="9">P55&amp;$Q$53&amp;"."&amp;Q55</f>
        <v>%I259.1</v>
      </c>
      <c r="M55" s="136"/>
      <c r="N55" s="165"/>
      <c r="O55" t="s">
        <v>507</v>
      </c>
      <c r="P55" t="s">
        <v>80</v>
      </c>
      <c r="Q55" s="3">
        <v>1</v>
      </c>
      <c r="R55" s="11"/>
      <c r="S55" s="11"/>
      <c r="U55" s="1"/>
      <c r="V55" s="1"/>
    </row>
    <row r="56" spans="1:22">
      <c r="A56" s="120" t="str">
        <f>F31</f>
        <v>Dataman-Untrain Ack</v>
      </c>
      <c r="B56" s="54" t="str">
        <f>G31</f>
        <v>Bool</v>
      </c>
      <c r="C56" s="54" t="str">
        <f>H31</f>
        <v>%I4.4</v>
      </c>
      <c r="E56" s="154"/>
      <c r="F56" s="8" t="str">
        <f t="shared" si="1"/>
        <v>Dataman-Verified / Not Verified</v>
      </c>
      <c r="G56" s="11" t="s">
        <v>11</v>
      </c>
      <c r="H56" s="4" t="str">
        <f t="shared" si="9"/>
        <v>%I259.2</v>
      </c>
      <c r="M56" s="136"/>
      <c r="N56" s="165"/>
      <c r="O56" t="s">
        <v>508</v>
      </c>
      <c r="P56" t="s">
        <v>80</v>
      </c>
      <c r="Q56" s="3">
        <v>2</v>
      </c>
      <c r="R56" s="11"/>
      <c r="S56" s="11"/>
      <c r="U56" s="1"/>
      <c r="V56" s="1"/>
    </row>
    <row r="57" spans="1:22">
      <c r="A57" s="120" t="str">
        <f>F25</f>
        <v>Dataman-Execute DMCC</v>
      </c>
      <c r="B57" s="54" t="str">
        <f>G25</f>
        <v>Bool</v>
      </c>
      <c r="C57" s="54" t="str">
        <f>H25</f>
        <v>%Q6.6</v>
      </c>
      <c r="E57" s="154"/>
      <c r="F57" s="8" t="str">
        <f t="shared" si="1"/>
        <v>Dataman-Acquisition Trigger Overrun</v>
      </c>
      <c r="G57" s="11" t="s">
        <v>11</v>
      </c>
      <c r="H57" s="4" t="str">
        <f t="shared" si="9"/>
        <v>%I259.3</v>
      </c>
      <c r="M57" s="136"/>
      <c r="N57" s="165"/>
      <c r="O57" t="s">
        <v>509</v>
      </c>
      <c r="P57" t="s">
        <v>80</v>
      </c>
      <c r="Q57" s="3">
        <v>3</v>
      </c>
      <c r="R57" s="11"/>
      <c r="S57" s="11"/>
      <c r="U57" s="1"/>
      <c r="V57" s="1"/>
    </row>
    <row r="58" spans="1:22">
      <c r="A58" s="120" t="str">
        <f>F32</f>
        <v>Dataman-Execute DMCC Ack</v>
      </c>
      <c r="B58" s="54" t="str">
        <f>G32</f>
        <v>Bool</v>
      </c>
      <c r="C58" s="54" t="str">
        <f>H32</f>
        <v>%I4.6</v>
      </c>
      <c r="E58" s="154"/>
      <c r="F58" s="8" t="str">
        <f t="shared" si="1"/>
        <v>Dataman-Acquisition Buffer Overflow</v>
      </c>
      <c r="G58" s="11" t="s">
        <v>11</v>
      </c>
      <c r="H58" s="4" t="str">
        <f t="shared" si="9"/>
        <v>%I259.4</v>
      </c>
      <c r="M58" s="136"/>
      <c r="N58" s="165"/>
      <c r="O58" t="s">
        <v>510</v>
      </c>
      <c r="P58" t="s">
        <v>80</v>
      </c>
      <c r="Q58" s="3">
        <v>4</v>
      </c>
      <c r="R58" s="11"/>
      <c r="S58" s="11"/>
      <c r="U58" s="1"/>
      <c r="V58" s="1"/>
    </row>
    <row r="59" spans="1:22">
      <c r="A59" s="120" t="str">
        <f>F26</f>
        <v>Dataman-Set Match String</v>
      </c>
      <c r="B59" s="54" t="str">
        <f>G26</f>
        <v>Bool</v>
      </c>
      <c r="C59" s="54" t="str">
        <f>H26</f>
        <v>%Q6.7</v>
      </c>
      <c r="E59" s="154"/>
      <c r="F59" t="str">
        <f t="shared" si="1"/>
        <v>Dataman-Result Extended</v>
      </c>
      <c r="G59" s="11" t="s">
        <v>87</v>
      </c>
      <c r="H59" s="4" t="str">
        <f t="shared" si="4"/>
        <v>%IW260</v>
      </c>
      <c r="M59" s="136"/>
      <c r="N59" s="165"/>
      <c r="O59" t="s">
        <v>351</v>
      </c>
      <c r="P59" s="16" t="s">
        <v>89</v>
      </c>
      <c r="Q59" s="3">
        <f>SUM($B$13+4)</f>
        <v>260</v>
      </c>
      <c r="R59" s="11"/>
      <c r="S59" s="11"/>
      <c r="U59" s="1"/>
      <c r="V59" s="1"/>
    </row>
    <row r="60" spans="1:22">
      <c r="A60" s="120" t="str">
        <f t="shared" ref="A60:A103" si="10">F33</f>
        <v>Dataman-Set Match String Ack</v>
      </c>
      <c r="B60" s="54" t="str">
        <f t="shared" ref="B60:B103" si="11">G33</f>
        <v>Bool</v>
      </c>
      <c r="C60" s="54" t="str">
        <f t="shared" ref="C60:C103" si="12">H33</f>
        <v>%I4.7</v>
      </c>
      <c r="E60" s="154"/>
      <c r="F60" t="str">
        <f t="shared" si="1"/>
        <v>Dataman-Result Length</v>
      </c>
      <c r="G60" s="11" t="s">
        <v>87</v>
      </c>
      <c r="H60" s="4" t="str">
        <f t="shared" si="4"/>
        <v>%IW262</v>
      </c>
      <c r="M60" s="136"/>
      <c r="N60" s="165"/>
      <c r="O60" t="s">
        <v>352</v>
      </c>
      <c r="P60" s="16" t="s">
        <v>89</v>
      </c>
      <c r="Q60" s="3">
        <f>SUM($B$13+6)</f>
        <v>262</v>
      </c>
      <c r="R60" s="11"/>
      <c r="S60" s="11"/>
      <c r="U60" s="1"/>
      <c r="V60" s="1"/>
    </row>
    <row r="61" spans="1:22">
      <c r="A61" s="120" t="str">
        <f t="shared" si="10"/>
        <v>Dataman-UserData Option</v>
      </c>
      <c r="B61" s="54" t="str">
        <f t="shared" si="11"/>
        <v>Word</v>
      </c>
      <c r="C61" s="54" t="str">
        <f t="shared" si="12"/>
        <v>%QW256</v>
      </c>
      <c r="E61" s="154"/>
      <c r="F61" t="str">
        <f t="shared" si="1"/>
        <v>Dataman-InspectionResults[0]</v>
      </c>
      <c r="G61" s="11" t="s">
        <v>235</v>
      </c>
      <c r="H61" s="4" t="str">
        <f t="shared" si="4"/>
        <v>%IB264</v>
      </c>
      <c r="M61" s="136"/>
      <c r="N61" s="165"/>
      <c r="O61" t="s">
        <v>256</v>
      </c>
      <c r="P61" t="s">
        <v>257</v>
      </c>
      <c r="Q61" s="3">
        <f>SUM($B$13+8)</f>
        <v>264</v>
      </c>
    </row>
    <row r="62" spans="1:22">
      <c r="A62" s="120" t="str">
        <f t="shared" si="10"/>
        <v>Dataman-UserData Length</v>
      </c>
      <c r="B62" s="54" t="str">
        <f t="shared" si="11"/>
        <v>Word</v>
      </c>
      <c r="C62" s="54" t="str">
        <f t="shared" si="12"/>
        <v>%QW258</v>
      </c>
      <c r="E62" s="154"/>
      <c r="F62" t="str">
        <f t="shared" si="1"/>
        <v>Dataman-InspectionResults[1]</v>
      </c>
      <c r="G62" s="11" t="s">
        <v>235</v>
      </c>
      <c r="H62" s="4" t="str">
        <f t="shared" si="4"/>
        <v>%IB265</v>
      </c>
      <c r="M62" s="136"/>
      <c r="N62" s="165"/>
      <c r="O62" t="s">
        <v>258</v>
      </c>
      <c r="P62" t="s">
        <v>257</v>
      </c>
      <c r="Q62" s="3">
        <f>SUM(Q61+1)</f>
        <v>265</v>
      </c>
    </row>
    <row r="63" spans="1:22">
      <c r="A63" s="120" t="str">
        <f t="shared" si="10"/>
        <v>Dataman-UserData[0]</v>
      </c>
      <c r="B63" s="54" t="str">
        <f t="shared" si="11"/>
        <v>Byte</v>
      </c>
      <c r="C63" s="54" t="str">
        <f t="shared" si="12"/>
        <v>%QB260</v>
      </c>
      <c r="E63" s="154"/>
      <c r="F63" t="str">
        <f t="shared" si="1"/>
        <v>Dataman-InspectionResults[2]</v>
      </c>
      <c r="G63" s="11" t="s">
        <v>235</v>
      </c>
      <c r="H63" s="4" t="str">
        <f t="shared" si="4"/>
        <v>%IB266</v>
      </c>
      <c r="M63" s="136"/>
      <c r="N63" s="165"/>
      <c r="O63" t="s">
        <v>259</v>
      </c>
      <c r="P63" t="s">
        <v>257</v>
      </c>
      <c r="Q63" s="3">
        <f t="shared" ref="Q63:Q76" si="13">SUM(Q62+1)</f>
        <v>266</v>
      </c>
    </row>
    <row r="64" spans="1:22">
      <c r="A64" s="120" t="str">
        <f t="shared" si="10"/>
        <v>Dataman-UserData[1]</v>
      </c>
      <c r="B64" s="54" t="str">
        <f t="shared" si="11"/>
        <v>Byte</v>
      </c>
      <c r="C64" s="54" t="str">
        <f t="shared" si="12"/>
        <v>%QB261</v>
      </c>
      <c r="E64" s="154"/>
      <c r="F64" t="str">
        <f t="shared" si="1"/>
        <v>Dataman-InspectionResults[3]</v>
      </c>
      <c r="G64" s="11" t="s">
        <v>235</v>
      </c>
      <c r="H64" s="4" t="str">
        <f t="shared" si="4"/>
        <v>%IB267</v>
      </c>
      <c r="M64" s="136"/>
      <c r="N64" s="165"/>
      <c r="O64" t="s">
        <v>260</v>
      </c>
      <c r="P64" t="s">
        <v>257</v>
      </c>
      <c r="Q64" s="3">
        <f t="shared" si="13"/>
        <v>267</v>
      </c>
    </row>
    <row r="65" spans="1:17">
      <c r="A65" s="120" t="str">
        <f t="shared" si="10"/>
        <v>Dataman-UserData[2]</v>
      </c>
      <c r="B65" s="54" t="str">
        <f t="shared" si="11"/>
        <v>Byte</v>
      </c>
      <c r="C65" s="54" t="str">
        <f t="shared" si="12"/>
        <v>%QB262</v>
      </c>
      <c r="E65" s="154"/>
      <c r="F65" t="str">
        <f t="shared" si="1"/>
        <v>Dataman-InspectionResults[4]</v>
      </c>
      <c r="G65" s="11" t="s">
        <v>235</v>
      </c>
      <c r="H65" s="4" t="str">
        <f t="shared" si="4"/>
        <v>%IB268</v>
      </c>
      <c r="M65" s="136"/>
      <c r="N65" s="165"/>
      <c r="O65" t="s">
        <v>261</v>
      </c>
      <c r="P65" t="s">
        <v>257</v>
      </c>
      <c r="Q65" s="3">
        <f t="shared" si="13"/>
        <v>268</v>
      </c>
    </row>
    <row r="66" spans="1:17">
      <c r="A66" s="120" t="str">
        <f t="shared" si="10"/>
        <v>Dataman-UserData[3]</v>
      </c>
      <c r="B66" s="54" t="str">
        <f t="shared" si="11"/>
        <v>Byte</v>
      </c>
      <c r="C66" s="54" t="str">
        <f t="shared" si="12"/>
        <v>%QB263</v>
      </c>
      <c r="E66" s="154"/>
      <c r="F66" t="str">
        <f t="shared" si="1"/>
        <v>Dataman-InspectionResults[5]</v>
      </c>
      <c r="G66" s="11" t="s">
        <v>235</v>
      </c>
      <c r="H66" s="4" t="str">
        <f t="shared" si="4"/>
        <v>%IB269</v>
      </c>
      <c r="M66" s="136"/>
      <c r="N66" s="165"/>
      <c r="O66" t="s">
        <v>262</v>
      </c>
      <c r="P66" t="s">
        <v>257</v>
      </c>
      <c r="Q66" s="3">
        <f t="shared" si="13"/>
        <v>269</v>
      </c>
    </row>
    <row r="67" spans="1:17">
      <c r="A67" s="120" t="str">
        <f t="shared" si="10"/>
        <v>Dataman-UserData[4]</v>
      </c>
      <c r="B67" s="54" t="str">
        <f t="shared" si="11"/>
        <v>Byte</v>
      </c>
      <c r="C67" s="54" t="str">
        <f t="shared" si="12"/>
        <v>%QB264</v>
      </c>
      <c r="E67" s="154"/>
      <c r="F67" t="str">
        <f t="shared" si="1"/>
        <v>Dataman-InspectionResults[6]</v>
      </c>
      <c r="G67" s="11" t="s">
        <v>235</v>
      </c>
      <c r="H67" s="4" t="str">
        <f t="shared" si="4"/>
        <v>%IB270</v>
      </c>
      <c r="M67" s="136"/>
      <c r="N67" s="165"/>
      <c r="O67" t="s">
        <v>263</v>
      </c>
      <c r="P67" t="s">
        <v>257</v>
      </c>
      <c r="Q67" s="3">
        <f t="shared" si="13"/>
        <v>270</v>
      </c>
    </row>
    <row r="68" spans="1:17">
      <c r="A68" s="120" t="str">
        <f t="shared" si="10"/>
        <v>Dataman-UserData[5]</v>
      </c>
      <c r="B68" s="54" t="str">
        <f t="shared" si="11"/>
        <v>Byte</v>
      </c>
      <c r="C68" s="54" t="str">
        <f t="shared" si="12"/>
        <v>%QB265</v>
      </c>
      <c r="E68" s="154"/>
      <c r="F68" t="str">
        <f t="shared" si="1"/>
        <v>Dataman-InspectionResults[7]</v>
      </c>
      <c r="G68" s="11" t="s">
        <v>235</v>
      </c>
      <c r="H68" s="4" t="str">
        <f t="shared" si="4"/>
        <v>%IB271</v>
      </c>
      <c r="M68" s="136"/>
      <c r="N68" s="165"/>
      <c r="O68" t="s">
        <v>264</v>
      </c>
      <c r="P68" t="s">
        <v>257</v>
      </c>
      <c r="Q68" s="3">
        <f t="shared" si="13"/>
        <v>271</v>
      </c>
    </row>
    <row r="69" spans="1:17">
      <c r="A69" s="120" t="str">
        <f t="shared" si="10"/>
        <v>Dataman-UserData[6]</v>
      </c>
      <c r="B69" s="54" t="str">
        <f t="shared" si="11"/>
        <v>Byte</v>
      </c>
      <c r="C69" s="54" t="str">
        <f t="shared" si="12"/>
        <v>%QB266</v>
      </c>
      <c r="E69" s="154"/>
      <c r="F69" t="str">
        <f t="shared" si="1"/>
        <v>Dataman-InspectionResults[8]</v>
      </c>
      <c r="G69" s="11" t="s">
        <v>235</v>
      </c>
      <c r="H69" s="4" t="str">
        <f t="shared" si="4"/>
        <v>%IB272</v>
      </c>
      <c r="M69" s="136"/>
      <c r="N69" s="165"/>
      <c r="O69" t="s">
        <v>265</v>
      </c>
      <c r="P69" t="s">
        <v>257</v>
      </c>
      <c r="Q69" s="3">
        <f t="shared" si="13"/>
        <v>272</v>
      </c>
    </row>
    <row r="70" spans="1:17">
      <c r="A70" s="120" t="str">
        <f t="shared" si="10"/>
        <v>Dataman-UserData[7]</v>
      </c>
      <c r="B70" s="54" t="str">
        <f t="shared" si="11"/>
        <v>Byte</v>
      </c>
      <c r="C70" s="54" t="str">
        <f t="shared" si="12"/>
        <v>%QB267</v>
      </c>
      <c r="E70" s="154"/>
      <c r="F70" t="str">
        <f t="shared" si="1"/>
        <v>Dataman-InspectionResults[9]</v>
      </c>
      <c r="G70" s="11" t="s">
        <v>235</v>
      </c>
      <c r="H70" s="4" t="str">
        <f t="shared" si="4"/>
        <v>%IB273</v>
      </c>
      <c r="M70" s="136"/>
      <c r="N70" s="165"/>
      <c r="O70" t="s">
        <v>266</v>
      </c>
      <c r="P70" t="s">
        <v>257</v>
      </c>
      <c r="Q70" s="3">
        <f t="shared" si="13"/>
        <v>273</v>
      </c>
    </row>
    <row r="71" spans="1:17">
      <c r="A71" s="120" t="str">
        <f t="shared" si="10"/>
        <v>Dataman-UserData[8]</v>
      </c>
      <c r="B71" s="54" t="str">
        <f t="shared" si="11"/>
        <v>Byte</v>
      </c>
      <c r="C71" s="54" t="str">
        <f t="shared" si="12"/>
        <v>%QB268</v>
      </c>
      <c r="E71" s="154"/>
      <c r="F71" t="str">
        <f t="shared" si="1"/>
        <v>Dataman-InspectionResults[10]</v>
      </c>
      <c r="G71" s="11" t="s">
        <v>235</v>
      </c>
      <c r="H71" s="4" t="str">
        <f t="shared" si="4"/>
        <v>%IB274</v>
      </c>
      <c r="M71" s="136"/>
      <c r="N71" s="165"/>
      <c r="O71" t="s">
        <v>267</v>
      </c>
      <c r="P71" t="s">
        <v>257</v>
      </c>
      <c r="Q71" s="3">
        <f t="shared" si="13"/>
        <v>274</v>
      </c>
    </row>
    <row r="72" spans="1:17">
      <c r="A72" s="120" t="str">
        <f t="shared" si="10"/>
        <v>Dataman-UserData[9]</v>
      </c>
      <c r="B72" s="54" t="str">
        <f t="shared" si="11"/>
        <v>Byte</v>
      </c>
      <c r="C72" s="54" t="str">
        <f t="shared" si="12"/>
        <v>%QB269</v>
      </c>
      <c r="E72" s="154"/>
      <c r="F72" t="str">
        <f t="shared" si="1"/>
        <v>Dataman-InspectionResults[11]</v>
      </c>
      <c r="G72" s="11" t="s">
        <v>235</v>
      </c>
      <c r="H72" s="4" t="str">
        <f t="shared" si="4"/>
        <v>%IB275</v>
      </c>
      <c r="M72" s="136"/>
      <c r="N72" s="165"/>
      <c r="O72" t="s">
        <v>268</v>
      </c>
      <c r="P72" t="s">
        <v>257</v>
      </c>
      <c r="Q72" s="3">
        <f t="shared" si="13"/>
        <v>275</v>
      </c>
    </row>
    <row r="73" spans="1:17">
      <c r="A73" s="120" t="str">
        <f t="shared" si="10"/>
        <v>Dataman-UserData[10]</v>
      </c>
      <c r="B73" s="54" t="str">
        <f t="shared" si="11"/>
        <v>Byte</v>
      </c>
      <c r="C73" s="54" t="str">
        <f t="shared" si="12"/>
        <v>%QB270</v>
      </c>
      <c r="E73" s="154"/>
      <c r="F73" t="str">
        <f t="shared" si="1"/>
        <v>Dataman-InspectionResults[12]</v>
      </c>
      <c r="G73" s="11" t="s">
        <v>235</v>
      </c>
      <c r="H73" s="4" t="str">
        <f t="shared" si="4"/>
        <v>%IB276</v>
      </c>
      <c r="M73" s="136"/>
      <c r="N73" s="165"/>
      <c r="O73" t="s">
        <v>269</v>
      </c>
      <c r="P73" t="s">
        <v>257</v>
      </c>
      <c r="Q73" s="3">
        <f t="shared" si="13"/>
        <v>276</v>
      </c>
    </row>
    <row r="74" spans="1:17">
      <c r="A74" s="120" t="str">
        <f t="shared" si="10"/>
        <v>Dataman-UserData[11]</v>
      </c>
      <c r="B74" s="54" t="str">
        <f t="shared" si="11"/>
        <v>Byte</v>
      </c>
      <c r="C74" s="54" t="str">
        <f t="shared" si="12"/>
        <v>%QB271</v>
      </c>
      <c r="E74" s="154"/>
      <c r="F74" t="str">
        <f t="shared" si="1"/>
        <v>Dataman-InspectionResults[13]</v>
      </c>
      <c r="G74" s="11" t="s">
        <v>235</v>
      </c>
      <c r="H74" s="4" t="str">
        <f t="shared" si="4"/>
        <v>%IB277</v>
      </c>
      <c r="M74" s="136"/>
      <c r="N74" s="165"/>
      <c r="O74" t="s">
        <v>270</v>
      </c>
      <c r="P74" t="s">
        <v>257</v>
      </c>
      <c r="Q74" s="3">
        <f t="shared" si="13"/>
        <v>277</v>
      </c>
    </row>
    <row r="75" spans="1:17">
      <c r="A75" s="120" t="str">
        <f t="shared" si="10"/>
        <v>Dataman-UserData[12]</v>
      </c>
      <c r="B75" s="54" t="str">
        <f t="shared" si="11"/>
        <v>Byte</v>
      </c>
      <c r="C75" s="54" t="str">
        <f t="shared" si="12"/>
        <v>%QB272</v>
      </c>
      <c r="E75" s="154"/>
      <c r="F75" t="str">
        <f t="shared" si="1"/>
        <v>Dataman-InspectionResults[14]</v>
      </c>
      <c r="G75" s="11" t="s">
        <v>235</v>
      </c>
      <c r="H75" s="4" t="str">
        <f t="shared" si="4"/>
        <v>%IB278</v>
      </c>
      <c r="M75" s="136"/>
      <c r="N75" s="165"/>
      <c r="O75" t="s">
        <v>271</v>
      </c>
      <c r="P75" t="s">
        <v>257</v>
      </c>
      <c r="Q75" s="3">
        <f t="shared" si="13"/>
        <v>278</v>
      </c>
    </row>
    <row r="76" spans="1:17" ht="15" thickBot="1">
      <c r="A76" s="120" t="str">
        <f t="shared" si="10"/>
        <v>Dataman-UserData[13]</v>
      </c>
      <c r="B76" s="54" t="str">
        <f t="shared" si="11"/>
        <v>Byte</v>
      </c>
      <c r="C76" s="54" t="str">
        <f t="shared" si="12"/>
        <v>%QB273</v>
      </c>
      <c r="E76" s="166"/>
      <c r="F76" s="5" t="str">
        <f t="shared" si="1"/>
        <v>Dataman-InspectionResults[15]</v>
      </c>
      <c r="G76" s="13" t="s">
        <v>235</v>
      </c>
      <c r="H76" s="2" t="str">
        <f t="shared" si="4"/>
        <v>%IB279</v>
      </c>
      <c r="M76" s="136"/>
      <c r="N76" s="165"/>
      <c r="O76" t="s">
        <v>272</v>
      </c>
      <c r="P76" t="s">
        <v>257</v>
      </c>
      <c r="Q76" s="3">
        <f t="shared" si="13"/>
        <v>279</v>
      </c>
    </row>
    <row r="77" spans="1:17">
      <c r="A77" s="120" t="str">
        <f t="shared" si="10"/>
        <v>Dataman-UserData[14]</v>
      </c>
      <c r="B77" s="54" t="str">
        <f t="shared" si="11"/>
        <v>Byte</v>
      </c>
      <c r="C77" s="54" t="str">
        <f t="shared" si="12"/>
        <v>%QB274</v>
      </c>
      <c r="E77" s="14"/>
      <c r="G77" s="11"/>
      <c r="H77" s="11"/>
    </row>
    <row r="78" spans="1:17">
      <c r="A78" s="120" t="str">
        <f t="shared" si="10"/>
        <v>Dataman-UserData[15]</v>
      </c>
      <c r="B78" s="54" t="str">
        <f t="shared" si="11"/>
        <v>Byte</v>
      </c>
      <c r="C78" s="54" t="str">
        <f t="shared" si="12"/>
        <v>%QB275</v>
      </c>
    </row>
    <row r="79" spans="1:17">
      <c r="A79" s="120" t="str">
        <f t="shared" si="10"/>
        <v>Dataman-ResultID</v>
      </c>
      <c r="B79" s="54" t="str">
        <f t="shared" si="11"/>
        <v>Word</v>
      </c>
      <c r="C79" s="54" t="str">
        <f t="shared" si="12"/>
        <v>%IW256</v>
      </c>
    </row>
    <row r="80" spans="1:17">
      <c r="A80" s="120" t="str">
        <f t="shared" si="10"/>
        <v>Dataman-Result Code</v>
      </c>
      <c r="B80" s="54" t="str">
        <f t="shared" si="11"/>
        <v>Word</v>
      </c>
      <c r="C80" s="54" t="str">
        <f t="shared" si="12"/>
        <v>%IW259</v>
      </c>
    </row>
    <row r="81" spans="1:3">
      <c r="A81" s="120" t="str">
        <f t="shared" si="10"/>
        <v>Dataman-Read / No Read</v>
      </c>
      <c r="B81" s="54" t="str">
        <f t="shared" si="11"/>
        <v>Bool</v>
      </c>
      <c r="C81" s="54" t="str">
        <f t="shared" si="12"/>
        <v>%I259.0</v>
      </c>
    </row>
    <row r="82" spans="1:3">
      <c r="A82" s="120" t="str">
        <f t="shared" si="10"/>
        <v>Dataman-Validated / Not Validated</v>
      </c>
      <c r="B82" s="54" t="str">
        <f t="shared" si="11"/>
        <v>Bool</v>
      </c>
      <c r="C82" s="54" t="str">
        <f t="shared" si="12"/>
        <v>%I259.1</v>
      </c>
    </row>
    <row r="83" spans="1:3">
      <c r="A83" s="120" t="str">
        <f t="shared" si="10"/>
        <v>Dataman-Verified / Not Verified</v>
      </c>
      <c r="B83" s="54" t="str">
        <f t="shared" si="11"/>
        <v>Bool</v>
      </c>
      <c r="C83" s="54" t="str">
        <f t="shared" si="12"/>
        <v>%I259.2</v>
      </c>
    </row>
    <row r="84" spans="1:3">
      <c r="A84" s="120" t="str">
        <f t="shared" si="10"/>
        <v>Dataman-Acquisition Trigger Overrun</v>
      </c>
      <c r="B84" s="54" t="str">
        <f t="shared" si="11"/>
        <v>Bool</v>
      </c>
      <c r="C84" s="54" t="str">
        <f t="shared" si="12"/>
        <v>%I259.3</v>
      </c>
    </row>
    <row r="85" spans="1:3">
      <c r="A85" s="120" t="str">
        <f t="shared" si="10"/>
        <v>Dataman-Acquisition Buffer Overflow</v>
      </c>
      <c r="B85" s="54" t="str">
        <f t="shared" si="11"/>
        <v>Bool</v>
      </c>
      <c r="C85" s="54" t="str">
        <f t="shared" si="12"/>
        <v>%I259.4</v>
      </c>
    </row>
    <row r="86" spans="1:3">
      <c r="A86" s="54" t="str">
        <f t="shared" si="10"/>
        <v>Dataman-Result Extended</v>
      </c>
      <c r="B86" s="54" t="str">
        <f t="shared" si="11"/>
        <v>Word</v>
      </c>
      <c r="C86" s="54" t="str">
        <f t="shared" si="12"/>
        <v>%IW260</v>
      </c>
    </row>
    <row r="87" spans="1:3">
      <c r="A87" s="54" t="str">
        <f t="shared" si="10"/>
        <v>Dataman-Result Length</v>
      </c>
      <c r="B87" s="54" t="str">
        <f t="shared" si="11"/>
        <v>Word</v>
      </c>
      <c r="C87" s="54" t="str">
        <f t="shared" si="12"/>
        <v>%IW262</v>
      </c>
    </row>
    <row r="88" spans="1:3">
      <c r="A88" s="54" t="str">
        <f t="shared" si="10"/>
        <v>Dataman-InspectionResults[0]</v>
      </c>
      <c r="B88" s="54" t="str">
        <f t="shared" si="11"/>
        <v>Byte</v>
      </c>
      <c r="C88" s="54" t="str">
        <f t="shared" si="12"/>
        <v>%IB264</v>
      </c>
    </row>
    <row r="89" spans="1:3">
      <c r="A89" s="54" t="str">
        <f t="shared" si="10"/>
        <v>Dataman-InspectionResults[1]</v>
      </c>
      <c r="B89" s="54" t="str">
        <f t="shared" si="11"/>
        <v>Byte</v>
      </c>
      <c r="C89" s="54" t="str">
        <f t="shared" si="12"/>
        <v>%IB265</v>
      </c>
    </row>
    <row r="90" spans="1:3">
      <c r="A90" s="54" t="str">
        <f t="shared" si="10"/>
        <v>Dataman-InspectionResults[2]</v>
      </c>
      <c r="B90" s="54" t="str">
        <f t="shared" si="11"/>
        <v>Byte</v>
      </c>
      <c r="C90" s="54" t="str">
        <f t="shared" si="12"/>
        <v>%IB266</v>
      </c>
    </row>
    <row r="91" spans="1:3">
      <c r="A91" s="54" t="str">
        <f t="shared" si="10"/>
        <v>Dataman-InspectionResults[3]</v>
      </c>
      <c r="B91" s="54" t="str">
        <f t="shared" si="11"/>
        <v>Byte</v>
      </c>
      <c r="C91" s="54" t="str">
        <f t="shared" si="12"/>
        <v>%IB267</v>
      </c>
    </row>
    <row r="92" spans="1:3">
      <c r="A92" s="54" t="str">
        <f t="shared" si="10"/>
        <v>Dataman-InspectionResults[4]</v>
      </c>
      <c r="B92" s="54" t="str">
        <f t="shared" si="11"/>
        <v>Byte</v>
      </c>
      <c r="C92" s="54" t="str">
        <f t="shared" si="12"/>
        <v>%IB268</v>
      </c>
    </row>
    <row r="93" spans="1:3">
      <c r="A93" s="54" t="str">
        <f t="shared" si="10"/>
        <v>Dataman-InspectionResults[5]</v>
      </c>
      <c r="B93" s="54" t="str">
        <f t="shared" si="11"/>
        <v>Byte</v>
      </c>
      <c r="C93" s="54" t="str">
        <f t="shared" si="12"/>
        <v>%IB269</v>
      </c>
    </row>
    <row r="94" spans="1:3">
      <c r="A94" s="54" t="str">
        <f t="shared" si="10"/>
        <v>Dataman-InspectionResults[6]</v>
      </c>
      <c r="B94" s="54" t="str">
        <f t="shared" si="11"/>
        <v>Byte</v>
      </c>
      <c r="C94" s="54" t="str">
        <f t="shared" si="12"/>
        <v>%IB270</v>
      </c>
    </row>
    <row r="95" spans="1:3">
      <c r="A95" s="54" t="str">
        <f t="shared" si="10"/>
        <v>Dataman-InspectionResults[7]</v>
      </c>
      <c r="B95" s="54" t="str">
        <f t="shared" si="11"/>
        <v>Byte</v>
      </c>
      <c r="C95" s="54" t="str">
        <f t="shared" si="12"/>
        <v>%IB271</v>
      </c>
    </row>
    <row r="96" spans="1:3">
      <c r="A96" s="54" t="str">
        <f t="shared" si="10"/>
        <v>Dataman-InspectionResults[8]</v>
      </c>
      <c r="B96" s="54" t="str">
        <f t="shared" si="11"/>
        <v>Byte</v>
      </c>
      <c r="C96" s="54" t="str">
        <f t="shared" si="12"/>
        <v>%IB272</v>
      </c>
    </row>
    <row r="97" spans="1:3">
      <c r="A97" s="54" t="str">
        <f t="shared" si="10"/>
        <v>Dataman-InspectionResults[9]</v>
      </c>
      <c r="B97" s="54" t="str">
        <f t="shared" si="11"/>
        <v>Byte</v>
      </c>
      <c r="C97" s="54" t="str">
        <f t="shared" si="12"/>
        <v>%IB273</v>
      </c>
    </row>
    <row r="98" spans="1:3">
      <c r="A98" s="54" t="str">
        <f t="shared" si="10"/>
        <v>Dataman-InspectionResults[10]</v>
      </c>
      <c r="B98" s="54" t="str">
        <f t="shared" si="11"/>
        <v>Byte</v>
      </c>
      <c r="C98" s="54" t="str">
        <f t="shared" si="12"/>
        <v>%IB274</v>
      </c>
    </row>
    <row r="99" spans="1:3">
      <c r="A99" s="54" t="str">
        <f t="shared" si="10"/>
        <v>Dataman-InspectionResults[11]</v>
      </c>
      <c r="B99" s="54" t="str">
        <f t="shared" si="11"/>
        <v>Byte</v>
      </c>
      <c r="C99" s="54" t="str">
        <f t="shared" si="12"/>
        <v>%IB275</v>
      </c>
    </row>
    <row r="100" spans="1:3">
      <c r="A100" s="54" t="str">
        <f t="shared" si="10"/>
        <v>Dataman-InspectionResults[12]</v>
      </c>
      <c r="B100" s="54" t="str">
        <f t="shared" si="11"/>
        <v>Byte</v>
      </c>
      <c r="C100" s="54" t="str">
        <f t="shared" si="12"/>
        <v>%IB276</v>
      </c>
    </row>
    <row r="101" spans="1:3">
      <c r="A101" s="54" t="str">
        <f t="shared" si="10"/>
        <v>Dataman-InspectionResults[13]</v>
      </c>
      <c r="B101" s="54" t="str">
        <f t="shared" si="11"/>
        <v>Byte</v>
      </c>
      <c r="C101" s="54" t="str">
        <f t="shared" si="12"/>
        <v>%IB277</v>
      </c>
    </row>
    <row r="102" spans="1:3">
      <c r="A102" s="54" t="str">
        <f t="shared" si="10"/>
        <v>Dataman-InspectionResults[14]</v>
      </c>
      <c r="B102" s="54" t="str">
        <f t="shared" si="11"/>
        <v>Byte</v>
      </c>
      <c r="C102" s="54" t="str">
        <f t="shared" si="12"/>
        <v>%IB278</v>
      </c>
    </row>
    <row r="103" spans="1:3">
      <c r="A103" s="54" t="str">
        <f t="shared" si="10"/>
        <v>Dataman-InspectionResults[15]</v>
      </c>
      <c r="B103" s="54" t="str">
        <f t="shared" si="11"/>
        <v>Byte</v>
      </c>
      <c r="C103" s="54" t="str">
        <f t="shared" si="12"/>
        <v>%IB279</v>
      </c>
    </row>
  </sheetData>
  <mergeCells count="35">
    <mergeCell ref="A30:B30"/>
    <mergeCell ref="A27:B27"/>
    <mergeCell ref="A25:B25"/>
    <mergeCell ref="A26:B26"/>
    <mergeCell ref="A28:B28"/>
    <mergeCell ref="A29:B29"/>
    <mergeCell ref="E5:E7"/>
    <mergeCell ref="M6:M76"/>
    <mergeCell ref="N6:N7"/>
    <mergeCell ref="E8:E12"/>
    <mergeCell ref="N8:N12"/>
    <mergeCell ref="E13:E14"/>
    <mergeCell ref="N13:N14"/>
    <mergeCell ref="E15:E19"/>
    <mergeCell ref="N15:N19"/>
    <mergeCell ref="N20:N26"/>
    <mergeCell ref="E27:E33"/>
    <mergeCell ref="N27:N33"/>
    <mergeCell ref="E34:E51"/>
    <mergeCell ref="N34:N51"/>
    <mergeCell ref="E52:E76"/>
    <mergeCell ref="N52:N76"/>
    <mergeCell ref="A2:A3"/>
    <mergeCell ref="B2:B3"/>
    <mergeCell ref="E3:E4"/>
    <mergeCell ref="F3:H3"/>
    <mergeCell ref="N3:Q3"/>
    <mergeCell ref="A17:B17"/>
    <mergeCell ref="A18:B18"/>
    <mergeCell ref="A19:B19"/>
    <mergeCell ref="A20:B20"/>
    <mergeCell ref="E20:E26"/>
    <mergeCell ref="A21:B21"/>
    <mergeCell ref="A22:B22"/>
    <mergeCell ref="A23:B2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6261C-4A0F-4184-A8EF-B94A2FEC8C7A}">
  <sheetPr codeName="Sheet10"/>
  <dimension ref="A1:Q110"/>
  <sheetViews>
    <sheetView tabSelected="1" topLeftCell="E9" workbookViewId="0">
      <selection activeCell="O33" sqref="O33"/>
    </sheetView>
  </sheetViews>
  <sheetFormatPr defaultRowHeight="14.4"/>
  <cols>
    <col min="1" max="1" width="38.33203125" bestFit="1" customWidth="1"/>
    <col min="2" max="2" width="21.44140625" style="1" customWidth="1"/>
    <col min="3" max="3" width="12.88671875" style="1" customWidth="1"/>
    <col min="4" max="4" width="24.109375" bestFit="1" customWidth="1"/>
    <col min="5" max="5" width="30.6640625" customWidth="1"/>
    <col min="6" max="6" width="41.44140625" customWidth="1"/>
    <col min="7" max="8" width="10" customWidth="1"/>
    <col min="13" max="13" width="48.109375" customWidth="1"/>
    <col min="14" max="14" width="29.33203125" customWidth="1"/>
    <col min="15" max="15" width="27.33203125" customWidth="1"/>
  </cols>
  <sheetData>
    <row r="1" spans="1:17" ht="15" thickBot="1"/>
    <row r="2" spans="1:17" ht="15" thickBot="1">
      <c r="A2" s="123" t="s">
        <v>176</v>
      </c>
      <c r="B2" s="125" t="s">
        <v>523</v>
      </c>
    </row>
    <row r="3" spans="1:17" ht="15" thickBot="1">
      <c r="A3" s="124"/>
      <c r="B3" s="126"/>
      <c r="E3" s="127"/>
      <c r="F3" s="129" t="s">
        <v>2</v>
      </c>
      <c r="G3" s="130"/>
      <c r="H3" s="131"/>
      <c r="I3" s="1"/>
      <c r="N3" s="132" t="s">
        <v>3</v>
      </c>
      <c r="O3" s="132"/>
      <c r="P3" s="132"/>
      <c r="Q3" s="132"/>
    </row>
    <row r="4" spans="1:17" ht="15" thickBot="1">
      <c r="A4" s="11"/>
      <c r="B4" s="11"/>
      <c r="E4" s="128"/>
      <c r="F4" s="34" t="s">
        <v>4</v>
      </c>
      <c r="G4" s="31" t="s">
        <v>5</v>
      </c>
      <c r="H4" s="33" t="s">
        <v>6</v>
      </c>
      <c r="Q4" t="s">
        <v>7</v>
      </c>
    </row>
    <row r="5" spans="1:17" ht="16.2" thickBot="1">
      <c r="A5" s="7" t="s">
        <v>8</v>
      </c>
      <c r="B5" s="7" t="s">
        <v>9</v>
      </c>
      <c r="E5" s="133" t="s">
        <v>178</v>
      </c>
      <c r="F5" s="115" t="str">
        <f t="shared" ref="F5:F69" si="0">$B$2&amp;"-"&amp;O5</f>
        <v>is3800-TriggerEnable</v>
      </c>
      <c r="G5" s="10" t="s">
        <v>11</v>
      </c>
      <c r="H5" s="25" t="str">
        <f>P5&amp;$B$6&amp;"."&amp;Q5</f>
        <v>%Q1.0</v>
      </c>
      <c r="M5" s="136" t="s">
        <v>12</v>
      </c>
      <c r="N5" s="15" t="s">
        <v>178</v>
      </c>
      <c r="O5" t="s">
        <v>13</v>
      </c>
      <c r="P5" t="s">
        <v>14</v>
      </c>
      <c r="Q5" s="3">
        <v>0</v>
      </c>
    </row>
    <row r="6" spans="1:17">
      <c r="A6" s="8" t="s">
        <v>178</v>
      </c>
      <c r="B6" s="36">
        <v>1</v>
      </c>
      <c r="E6" s="134"/>
      <c r="F6" s="115" t="str">
        <f t="shared" si="0"/>
        <v>is3800-Trigger</v>
      </c>
      <c r="G6" s="11" t="s">
        <v>11</v>
      </c>
      <c r="H6" s="4" t="str">
        <f t="shared" ref="H6:H7" si="1">P6&amp;$B$6&amp;"."&amp;Q6</f>
        <v>%Q1.1</v>
      </c>
      <c r="M6" s="137"/>
      <c r="N6" s="15"/>
      <c r="O6" t="s">
        <v>179</v>
      </c>
      <c r="P6" t="s">
        <v>14</v>
      </c>
      <c r="Q6" s="3">
        <v>1</v>
      </c>
    </row>
    <row r="7" spans="1:17">
      <c r="A7" s="8" t="s">
        <v>180</v>
      </c>
      <c r="B7" s="37">
        <v>1</v>
      </c>
      <c r="E7" s="134"/>
      <c r="F7" s="115" t="str">
        <f t="shared" si="0"/>
        <v>is3800-ClearExposureComplete</v>
      </c>
      <c r="G7" s="11" t="s">
        <v>11</v>
      </c>
      <c r="H7" s="4" t="str">
        <f t="shared" si="1"/>
        <v>%Q1.2</v>
      </c>
      <c r="M7" s="137"/>
      <c r="O7" t="s">
        <v>181</v>
      </c>
      <c r="P7" t="s">
        <v>14</v>
      </c>
      <c r="Q7">
        <v>2</v>
      </c>
    </row>
    <row r="8" spans="1:17">
      <c r="A8" s="8" t="s">
        <v>182</v>
      </c>
      <c r="B8" s="37">
        <v>2</v>
      </c>
      <c r="E8" s="135"/>
      <c r="F8" s="116" t="str">
        <f t="shared" si="0"/>
        <v>is3800-Set Offline</v>
      </c>
      <c r="G8" s="12" t="s">
        <v>11</v>
      </c>
      <c r="H8" s="20" t="str">
        <f>P8&amp;$B$6&amp;"."&amp;Q8</f>
        <v>%Q1.7</v>
      </c>
      <c r="M8" s="137"/>
      <c r="N8" s="15"/>
      <c r="O8" t="s">
        <v>514</v>
      </c>
      <c r="P8" t="s">
        <v>14</v>
      </c>
      <c r="Q8" s="3">
        <v>7</v>
      </c>
    </row>
    <row r="9" spans="1:17">
      <c r="A9" s="8" t="s">
        <v>184</v>
      </c>
      <c r="B9" s="37">
        <v>6</v>
      </c>
      <c r="E9" s="133" t="s">
        <v>180</v>
      </c>
      <c r="F9" s="115" t="str">
        <f t="shared" si="0"/>
        <v>is3800-TriggerReady</v>
      </c>
      <c r="G9" s="10" t="s">
        <v>11</v>
      </c>
      <c r="H9" s="25" t="str">
        <f t="shared" ref="H9:H16" si="2">P9&amp;$B$7&amp;"."&amp;Q9</f>
        <v>%I1.0</v>
      </c>
      <c r="M9" s="137"/>
      <c r="N9" s="87" t="s">
        <v>180</v>
      </c>
      <c r="O9" t="s">
        <v>185</v>
      </c>
      <c r="P9" t="s">
        <v>80</v>
      </c>
      <c r="Q9" s="3">
        <v>0</v>
      </c>
    </row>
    <row r="10" spans="1:17">
      <c r="A10" s="8" t="s">
        <v>516</v>
      </c>
      <c r="B10" s="37">
        <v>64</v>
      </c>
      <c r="E10" s="134"/>
      <c r="F10" s="115" t="str">
        <f t="shared" si="0"/>
        <v>is3800-TriggerAck</v>
      </c>
      <c r="G10" s="11" t="s">
        <v>11</v>
      </c>
      <c r="H10" s="4" t="str">
        <f t="shared" si="2"/>
        <v>%I1.1</v>
      </c>
      <c r="M10" s="137"/>
      <c r="N10" s="87"/>
      <c r="O10" t="s">
        <v>187</v>
      </c>
      <c r="P10" t="s">
        <v>80</v>
      </c>
      <c r="Q10" s="3">
        <v>1</v>
      </c>
    </row>
    <row r="11" spans="1:17">
      <c r="A11" s="8" t="s">
        <v>517</v>
      </c>
      <c r="B11" s="37">
        <v>68</v>
      </c>
      <c r="E11" s="134"/>
      <c r="F11" s="115" t="str">
        <f t="shared" si="0"/>
        <v>is3800-ExposureComplete</v>
      </c>
      <c r="G11" s="11" t="s">
        <v>11</v>
      </c>
      <c r="H11" s="4" t="str">
        <f t="shared" si="2"/>
        <v>%I1.2</v>
      </c>
      <c r="M11" s="137"/>
      <c r="N11" s="87"/>
      <c r="O11" t="s">
        <v>189</v>
      </c>
      <c r="P11" t="s">
        <v>80</v>
      </c>
      <c r="Q11" s="3">
        <v>2</v>
      </c>
    </row>
    <row r="12" spans="1:17">
      <c r="A12" s="8" t="s">
        <v>276</v>
      </c>
      <c r="B12" s="37">
        <v>3</v>
      </c>
      <c r="E12" s="134"/>
      <c r="F12" s="115" t="str">
        <f t="shared" si="0"/>
        <v>is3800-AcquisitionError</v>
      </c>
      <c r="G12" s="11" t="s">
        <v>11</v>
      </c>
      <c r="H12" s="4" t="str">
        <f t="shared" si="2"/>
        <v>%I1.3</v>
      </c>
      <c r="M12" s="137"/>
      <c r="N12" s="87"/>
      <c r="O12" t="s">
        <v>191</v>
      </c>
      <c r="P12" t="s">
        <v>80</v>
      </c>
      <c r="Q12" s="3">
        <v>3</v>
      </c>
    </row>
    <row r="13" spans="1:17">
      <c r="A13" s="8" t="s">
        <v>192</v>
      </c>
      <c r="B13" s="37">
        <v>10</v>
      </c>
      <c r="E13" s="134"/>
      <c r="F13" s="115" t="str">
        <f t="shared" si="0"/>
        <v>is3800-Offline Reason</v>
      </c>
      <c r="G13" s="11" t="s">
        <v>11</v>
      </c>
      <c r="H13" s="4" t="str">
        <f t="shared" si="2"/>
        <v>%I1.4</v>
      </c>
      <c r="M13" s="137"/>
      <c r="N13" s="87"/>
      <c r="O13" t="s">
        <v>520</v>
      </c>
      <c r="P13" t="s">
        <v>80</v>
      </c>
      <c r="Q13" s="3">
        <v>4</v>
      </c>
    </row>
    <row r="14" spans="1:17">
      <c r="A14" s="8" t="s">
        <v>518</v>
      </c>
      <c r="B14" s="37">
        <v>66</v>
      </c>
      <c r="E14" s="134"/>
      <c r="F14" s="115" t="str">
        <f t="shared" si="0"/>
        <v>is3800-Offline Reason</v>
      </c>
      <c r="G14" s="11" t="s">
        <v>11</v>
      </c>
      <c r="H14" s="4" t="str">
        <f t="shared" si="2"/>
        <v>%I1.5</v>
      </c>
      <c r="M14" s="137"/>
      <c r="N14" s="87"/>
      <c r="O14" t="s">
        <v>520</v>
      </c>
      <c r="P14" t="s">
        <v>80</v>
      </c>
      <c r="Q14" s="3">
        <v>5</v>
      </c>
    </row>
    <row r="15" spans="1:17" ht="15" thickBot="1">
      <c r="A15" s="9" t="s">
        <v>519</v>
      </c>
      <c r="B15" s="38">
        <v>72</v>
      </c>
      <c r="E15" s="134"/>
      <c r="F15" s="116" t="str">
        <f t="shared" si="0"/>
        <v>is3800-Offline Reason</v>
      </c>
      <c r="G15" s="11" t="s">
        <v>11</v>
      </c>
      <c r="H15" s="4" t="str">
        <f t="shared" si="2"/>
        <v>%I1.6</v>
      </c>
      <c r="M15" s="137"/>
      <c r="N15" s="87"/>
      <c r="O15" t="s">
        <v>520</v>
      </c>
      <c r="P15" t="s">
        <v>80</v>
      </c>
      <c r="Q15" s="3">
        <v>6</v>
      </c>
    </row>
    <row r="16" spans="1:17" ht="15" thickBot="1">
      <c r="E16" s="134"/>
      <c r="F16" s="116" t="str">
        <f t="shared" si="0"/>
        <v>is3800-Online</v>
      </c>
      <c r="G16" s="11" t="s">
        <v>11</v>
      </c>
      <c r="H16" s="4" t="str">
        <f t="shared" si="2"/>
        <v>%I1.7</v>
      </c>
      <c r="M16" s="137"/>
      <c r="N16" s="87"/>
      <c r="O16" t="s">
        <v>161</v>
      </c>
      <c r="P16" t="s">
        <v>80</v>
      </c>
      <c r="Q16" s="3">
        <v>7</v>
      </c>
    </row>
    <row r="17" spans="1:17">
      <c r="A17" s="138" t="s">
        <v>40</v>
      </c>
      <c r="B17" s="139"/>
      <c r="E17" s="135"/>
      <c r="F17" s="115" t="str">
        <f t="shared" si="0"/>
        <v>is3800-AcquisitionID</v>
      </c>
      <c r="G17" s="12" t="s">
        <v>22</v>
      </c>
      <c r="H17" s="20" t="str">
        <f>P17&amp;Q17</f>
        <v>%IW3</v>
      </c>
      <c r="M17" s="137"/>
      <c r="N17" s="87"/>
      <c r="O17" t="s">
        <v>196</v>
      </c>
      <c r="P17" t="s">
        <v>89</v>
      </c>
      <c r="Q17" s="3">
        <f>SUM(B7+2)</f>
        <v>3</v>
      </c>
    </row>
    <row r="18" spans="1:17">
      <c r="A18" s="140" t="s">
        <v>42</v>
      </c>
      <c r="B18" s="141"/>
      <c r="E18" s="133" t="s">
        <v>182</v>
      </c>
      <c r="F18" s="115" t="str">
        <f t="shared" si="0"/>
        <v>is3800-BufferResultsEnable</v>
      </c>
      <c r="G18" s="10" t="s">
        <v>11</v>
      </c>
      <c r="H18" s="25" t="str">
        <f>P18&amp;$B$8&amp;"."&amp;Q18</f>
        <v>%Q2.0</v>
      </c>
      <c r="M18" s="137"/>
      <c r="N18" s="87" t="s">
        <v>182</v>
      </c>
      <c r="O18" t="s">
        <v>16</v>
      </c>
      <c r="P18" t="s">
        <v>14</v>
      </c>
      <c r="Q18" s="3">
        <v>0</v>
      </c>
    </row>
    <row r="19" spans="1:17">
      <c r="A19" s="140" t="s">
        <v>197</v>
      </c>
      <c r="B19" s="141"/>
      <c r="E19" s="134"/>
      <c r="F19" s="115" t="str">
        <f t="shared" si="0"/>
        <v>is3800-InspectionResultsAck</v>
      </c>
      <c r="G19" s="11" t="s">
        <v>11</v>
      </c>
      <c r="H19" s="4" t="str">
        <f>P19&amp;$B$8&amp;"."&amp;Q19</f>
        <v>%Q2.1</v>
      </c>
      <c r="M19" s="137"/>
      <c r="N19" s="87"/>
      <c r="O19" t="s">
        <v>198</v>
      </c>
      <c r="P19" t="s">
        <v>14</v>
      </c>
      <c r="Q19" s="3">
        <v>1</v>
      </c>
    </row>
    <row r="20" spans="1:17">
      <c r="A20" s="140" t="s">
        <v>199</v>
      </c>
      <c r="B20" s="141"/>
      <c r="E20" s="134"/>
      <c r="F20" s="115" t="str">
        <f t="shared" si="0"/>
        <v>is3800-SetUserData</v>
      </c>
      <c r="G20" s="11" t="s">
        <v>11</v>
      </c>
      <c r="H20" s="4" t="str">
        <f>P20&amp;$B$8&amp;"."&amp;Q20</f>
        <v>%Q2.2</v>
      </c>
      <c r="M20" s="137"/>
      <c r="N20" s="87"/>
      <c r="O20" t="s">
        <v>200</v>
      </c>
      <c r="P20" t="s">
        <v>14</v>
      </c>
      <c r="Q20" s="3">
        <v>2</v>
      </c>
    </row>
    <row r="21" spans="1:17">
      <c r="A21" s="140" t="s">
        <v>49</v>
      </c>
      <c r="B21" s="141"/>
      <c r="E21" s="134"/>
      <c r="F21" s="115" t="str">
        <f t="shared" si="0"/>
        <v>is3800-ExecuteCommand/JobLoad</v>
      </c>
      <c r="G21" s="11" t="s">
        <v>11</v>
      </c>
      <c r="H21" s="4" t="str">
        <f>P21&amp;$B$8&amp;"."&amp;Q21</f>
        <v>%Q2.3</v>
      </c>
      <c r="M21" s="137"/>
      <c r="N21" s="87"/>
      <c r="O21" t="s">
        <v>201</v>
      </c>
      <c r="P21" t="s">
        <v>14</v>
      </c>
      <c r="Q21" s="3">
        <v>3</v>
      </c>
    </row>
    <row r="22" spans="1:17">
      <c r="A22" s="140" t="s">
        <v>51</v>
      </c>
      <c r="B22" s="141"/>
      <c r="E22" s="135"/>
      <c r="F22" s="115" t="str">
        <f t="shared" si="0"/>
        <v>is3800-ClearError</v>
      </c>
      <c r="G22" s="12" t="s">
        <v>11</v>
      </c>
      <c r="H22" s="20" t="str">
        <f>P22&amp;$B$8&amp;"."&amp;Q22</f>
        <v>%Q2.7</v>
      </c>
      <c r="M22" s="137"/>
      <c r="O22" t="s">
        <v>20</v>
      </c>
      <c r="P22" t="s">
        <v>14</v>
      </c>
      <c r="Q22" s="3">
        <v>7</v>
      </c>
    </row>
    <row r="23" spans="1:17" ht="15" thickBot="1">
      <c r="A23" s="142" t="s">
        <v>53</v>
      </c>
      <c r="B23" s="143"/>
      <c r="E23" s="133" t="s">
        <v>184</v>
      </c>
      <c r="F23" s="115" t="str">
        <f t="shared" si="0"/>
        <v>is3800-Reserved</v>
      </c>
      <c r="G23" s="10" t="s">
        <v>11</v>
      </c>
      <c r="H23" s="25" t="str">
        <f t="shared" ref="H23:H30" si="3">P23&amp;$B$9&amp;"."&amp;Q23</f>
        <v>%I6.0</v>
      </c>
      <c r="M23" s="137"/>
      <c r="N23" s="87" t="s">
        <v>184</v>
      </c>
      <c r="O23" t="s">
        <v>193</v>
      </c>
      <c r="P23" t="s">
        <v>80</v>
      </c>
      <c r="Q23" s="3">
        <v>0</v>
      </c>
    </row>
    <row r="24" spans="1:17" ht="15" thickBot="1">
      <c r="E24" s="134"/>
      <c r="F24" s="115" t="str">
        <f t="shared" si="0"/>
        <v>is3800-InspectionCompleted</v>
      </c>
      <c r="G24" s="11" t="s">
        <v>11</v>
      </c>
      <c r="H24" s="4" t="str">
        <f t="shared" si="3"/>
        <v>%I6.1</v>
      </c>
      <c r="M24" s="137"/>
      <c r="N24" s="87"/>
      <c r="O24" t="s">
        <v>203</v>
      </c>
      <c r="P24" t="s">
        <v>80</v>
      </c>
      <c r="Q24" s="3">
        <v>1</v>
      </c>
    </row>
    <row r="25" spans="1:17">
      <c r="A25" s="149" t="s">
        <v>56</v>
      </c>
      <c r="B25" s="150"/>
      <c r="E25" s="134"/>
      <c r="F25" s="115" t="str">
        <f t="shared" si="0"/>
        <v>is3800-ResultsBufferOverrun</v>
      </c>
      <c r="G25" s="11" t="s">
        <v>11</v>
      </c>
      <c r="H25" s="4" t="str">
        <f t="shared" si="3"/>
        <v>%I6.2</v>
      </c>
      <c r="M25" s="137"/>
      <c r="N25" s="87"/>
      <c r="O25" t="s">
        <v>204</v>
      </c>
      <c r="P25" t="s">
        <v>80</v>
      </c>
      <c r="Q25" s="3">
        <v>2</v>
      </c>
    </row>
    <row r="26" spans="1:17">
      <c r="A26" s="151" t="e" vm="1">
        <v>#VALUE!</v>
      </c>
      <c r="B26" s="152"/>
      <c r="E26" s="134"/>
      <c r="F26" s="115" t="str">
        <f t="shared" si="0"/>
        <v>is3800-ResultsValid</v>
      </c>
      <c r="G26" s="11" t="s">
        <v>11</v>
      </c>
      <c r="H26" s="4" t="str">
        <f t="shared" si="3"/>
        <v>%I6.3</v>
      </c>
      <c r="M26" s="137"/>
      <c r="N26" s="87"/>
      <c r="O26" t="s">
        <v>205</v>
      </c>
      <c r="P26" t="s">
        <v>80</v>
      </c>
      <c r="Q26" s="3">
        <v>3</v>
      </c>
    </row>
    <row r="27" spans="1:17">
      <c r="A27" s="147" t="s">
        <v>529</v>
      </c>
      <c r="B27" s="148"/>
      <c r="E27" s="134"/>
      <c r="F27" s="115" t="str">
        <f t="shared" si="0"/>
        <v>is3800-CommandExecuting</v>
      </c>
      <c r="G27" s="11" t="s">
        <v>11</v>
      </c>
      <c r="H27" s="4" t="str">
        <f t="shared" si="3"/>
        <v>%I6.4</v>
      </c>
      <c r="M27" s="137"/>
      <c r="N27" s="87"/>
      <c r="O27" t="s">
        <v>206</v>
      </c>
      <c r="P27" t="s">
        <v>80</v>
      </c>
      <c r="Q27" s="3">
        <v>4</v>
      </c>
    </row>
    <row r="28" spans="1:17">
      <c r="A28" s="153" t="s">
        <v>530</v>
      </c>
      <c r="B28" s="148"/>
      <c r="E28" s="134"/>
      <c r="F28" s="115" t="str">
        <f t="shared" si="0"/>
        <v>is3800-CommandCompleted</v>
      </c>
      <c r="G28" s="11" t="s">
        <v>11</v>
      </c>
      <c r="H28" s="4" t="str">
        <f t="shared" si="3"/>
        <v>%I6.5</v>
      </c>
      <c r="M28" s="137"/>
      <c r="N28" s="87"/>
      <c r="O28" t="s">
        <v>207</v>
      </c>
      <c r="P28" t="s">
        <v>80</v>
      </c>
      <c r="Q28" s="3">
        <v>5</v>
      </c>
    </row>
    <row r="29" spans="1:17">
      <c r="A29" s="153" t="s">
        <v>531</v>
      </c>
      <c r="B29" s="148"/>
      <c r="E29" s="134"/>
      <c r="F29" s="115" t="str">
        <f t="shared" si="0"/>
        <v>is3800-CommandFailed</v>
      </c>
      <c r="G29" s="11" t="s">
        <v>11</v>
      </c>
      <c r="H29" s="4" t="str">
        <f t="shared" si="3"/>
        <v>%I6.6</v>
      </c>
      <c r="M29" s="137"/>
      <c r="N29" s="87"/>
      <c r="O29" t="s">
        <v>208</v>
      </c>
      <c r="P29" t="s">
        <v>80</v>
      </c>
      <c r="Q29" s="3">
        <v>6</v>
      </c>
    </row>
    <row r="30" spans="1:17" ht="15" thickBot="1">
      <c r="A30" s="145" t="s">
        <v>532</v>
      </c>
      <c r="B30" s="146"/>
      <c r="E30" s="134"/>
      <c r="F30" s="115" t="str">
        <f t="shared" si="0"/>
        <v>is3800-SetUserDataAck</v>
      </c>
      <c r="G30" s="11" t="s">
        <v>11</v>
      </c>
      <c r="H30" s="4" t="str">
        <f t="shared" si="3"/>
        <v>%I6.7</v>
      </c>
      <c r="M30" s="137"/>
      <c r="N30" s="87"/>
      <c r="O30" t="s">
        <v>209</v>
      </c>
      <c r="P30" t="s">
        <v>80</v>
      </c>
      <c r="Q30" s="3">
        <v>7</v>
      </c>
    </row>
    <row r="31" spans="1:17">
      <c r="A31" s="121"/>
      <c r="B31" s="121"/>
      <c r="D31" t="s">
        <v>533</v>
      </c>
      <c r="E31" s="134"/>
      <c r="F31" s="115" t="str">
        <f t="shared" si="0"/>
        <v>is3800-ResultsPassed (Job)</v>
      </c>
      <c r="G31" s="11" t="s">
        <v>11</v>
      </c>
      <c r="H31" s="4" t="str">
        <f>P31&amp;SUM($B$9+1)&amp;"."&amp;Q31</f>
        <v>%I7.0</v>
      </c>
      <c r="M31" s="137"/>
      <c r="N31" s="87"/>
      <c r="O31" t="s">
        <v>210</v>
      </c>
      <c r="P31" t="s">
        <v>80</v>
      </c>
      <c r="Q31" s="3">
        <v>0</v>
      </c>
    </row>
    <row r="32" spans="1:17">
      <c r="A32" s="122" t="s">
        <v>67</v>
      </c>
      <c r="B32" s="121"/>
      <c r="E32" s="134"/>
      <c r="F32" s="115" t="str">
        <f t="shared" si="0"/>
        <v>is3800-SystemValidated</v>
      </c>
      <c r="G32" s="11" t="s">
        <v>11</v>
      </c>
      <c r="H32" s="4" t="str">
        <f>P32&amp;SUM($B$9+1)&amp;"."&amp;Q32</f>
        <v>%I7.1</v>
      </c>
      <c r="M32" s="137"/>
      <c r="N32" s="87"/>
      <c r="O32" t="s">
        <v>535</v>
      </c>
      <c r="P32" t="s">
        <v>80</v>
      </c>
      <c r="Q32" s="3">
        <v>1</v>
      </c>
    </row>
    <row r="33" spans="1:17">
      <c r="A33" s="54" t="str">
        <f>F16</f>
        <v>is3800-Online</v>
      </c>
      <c r="B33" s="118" t="s">
        <v>11</v>
      </c>
      <c r="C33" s="118" t="str">
        <f>H16</f>
        <v>%I1.7</v>
      </c>
      <c r="E33" s="134"/>
      <c r="F33" s="115" t="str">
        <f t="shared" si="0"/>
        <v>is3800-Error</v>
      </c>
      <c r="G33" s="11" t="s">
        <v>11</v>
      </c>
      <c r="H33" s="4" t="str">
        <f t="shared" ref="H33" si="4">P33&amp;SUM($B$9+1)&amp;"."&amp;Q33</f>
        <v>%I7.7</v>
      </c>
      <c r="M33" s="137"/>
      <c r="O33" t="s">
        <v>86</v>
      </c>
      <c r="P33" t="s">
        <v>80</v>
      </c>
      <c r="Q33" s="3">
        <v>7</v>
      </c>
    </row>
    <row r="34" spans="1:17">
      <c r="A34" s="54" t="str">
        <f>F8</f>
        <v>is3800-Set Offline</v>
      </c>
      <c r="B34" s="118" t="s">
        <v>11</v>
      </c>
      <c r="C34" s="31" t="str">
        <f>H8</f>
        <v>%Q1.7</v>
      </c>
      <c r="E34" s="135"/>
      <c r="F34" s="115" t="str">
        <f t="shared" si="0"/>
        <v>is3800-ErrorCode</v>
      </c>
      <c r="G34" s="12" t="s">
        <v>87</v>
      </c>
      <c r="H34" s="20" t="str">
        <f>P34&amp;SUM($B$9+2)</f>
        <v>%IW8</v>
      </c>
      <c r="M34" s="137"/>
      <c r="O34" t="s">
        <v>211</v>
      </c>
      <c r="P34" t="s">
        <v>89</v>
      </c>
    </row>
    <row r="35" spans="1:17">
      <c r="A35" s="54" t="str">
        <f>F15</f>
        <v>is3800-Offline Reason</v>
      </c>
      <c r="B35" s="118" t="s">
        <v>11</v>
      </c>
      <c r="C35" s="31" t="str">
        <f>H15</f>
        <v>%I1.6</v>
      </c>
      <c r="E35" s="35" t="s">
        <v>212</v>
      </c>
      <c r="F35" s="115" t="str">
        <f t="shared" si="0"/>
        <v>is3800-CommandID</v>
      </c>
      <c r="G35" s="27" t="s">
        <v>87</v>
      </c>
      <c r="H35" s="28" t="str">
        <f>P35&amp;$B$10</f>
        <v>%QW64</v>
      </c>
      <c r="M35" s="137"/>
      <c r="N35" s="87" t="s">
        <v>212</v>
      </c>
      <c r="O35" t="s">
        <v>213</v>
      </c>
      <c r="P35" t="s">
        <v>24</v>
      </c>
    </row>
    <row r="36" spans="1:17">
      <c r="A36" s="54" t="str">
        <f>F5</f>
        <v>is3800-TriggerEnable</v>
      </c>
      <c r="B36" s="118" t="s">
        <v>11</v>
      </c>
      <c r="C36" s="31" t="str">
        <f>H5</f>
        <v>%Q1.0</v>
      </c>
      <c r="E36" s="114" t="s">
        <v>214</v>
      </c>
      <c r="F36" s="115" t="str">
        <f t="shared" si="0"/>
        <v>is3800-Current Job ID</v>
      </c>
      <c r="G36" s="27" t="s">
        <v>87</v>
      </c>
      <c r="H36" s="28" t="str">
        <f>P36&amp;$B$11</f>
        <v>%IW68</v>
      </c>
      <c r="M36" s="137"/>
      <c r="N36" s="87" t="s">
        <v>214</v>
      </c>
      <c r="O36" t="s">
        <v>511</v>
      </c>
      <c r="P36" t="s">
        <v>89</v>
      </c>
    </row>
    <row r="37" spans="1:17" ht="15" thickBot="1">
      <c r="A37" s="54" t="str">
        <f>F9</f>
        <v>is3800-TriggerReady</v>
      </c>
      <c r="B37" s="118" t="s">
        <v>11</v>
      </c>
      <c r="C37" s="31" t="str">
        <f>H9</f>
        <v>%I1.0</v>
      </c>
      <c r="E37" s="112"/>
      <c r="F37" s="115" t="str">
        <f t="shared" si="0"/>
        <v>is3800-CommandResultCode</v>
      </c>
      <c r="G37" s="10" t="s">
        <v>87</v>
      </c>
      <c r="H37" s="28" t="str">
        <f>P37&amp;$B$11+2</f>
        <v>%IW70</v>
      </c>
      <c r="M37" s="137"/>
      <c r="N37" s="87"/>
      <c r="O37" t="s">
        <v>215</v>
      </c>
      <c r="P37" t="s">
        <v>89</v>
      </c>
    </row>
    <row r="38" spans="1:17">
      <c r="A38" s="54" t="str">
        <f>F6</f>
        <v>is3800-Trigger</v>
      </c>
      <c r="B38" s="118" t="s">
        <v>11</v>
      </c>
      <c r="C38" s="31" t="str">
        <f>H6</f>
        <v>%Q1.1</v>
      </c>
      <c r="E38" s="134" t="s">
        <v>216</v>
      </c>
      <c r="F38" s="115" t="str">
        <f t="shared" si="0"/>
        <v>is3800-ExternalEvent[0]</v>
      </c>
      <c r="G38" s="10" t="s">
        <v>11</v>
      </c>
      <c r="H38" s="25" t="str">
        <f t="shared" ref="H38:H45" si="5">P38&amp;$B$12&amp;"."&amp;Q38</f>
        <v>%Q3.0</v>
      </c>
      <c r="M38" s="137"/>
      <c r="N38" s="87" t="s">
        <v>306</v>
      </c>
      <c r="O38" t="s">
        <v>218</v>
      </c>
      <c r="P38" t="s">
        <v>14</v>
      </c>
      <c r="Q38" s="3">
        <v>0</v>
      </c>
    </row>
    <row r="39" spans="1:17">
      <c r="A39" s="54" t="str">
        <f>F10</f>
        <v>is3800-TriggerAck</v>
      </c>
      <c r="B39" s="118" t="s">
        <v>11</v>
      </c>
      <c r="C39" s="31" t="str">
        <f>H10</f>
        <v>%I1.1</v>
      </c>
      <c r="E39" s="134"/>
      <c r="F39" s="115" t="str">
        <f t="shared" si="0"/>
        <v>is3800-ExternalEvent[1]</v>
      </c>
      <c r="G39" s="11" t="s">
        <v>11</v>
      </c>
      <c r="H39" s="4" t="str">
        <f t="shared" si="5"/>
        <v>%Q3.1</v>
      </c>
      <c r="M39" s="137"/>
      <c r="N39" s="87"/>
      <c r="O39" t="s">
        <v>219</v>
      </c>
      <c r="P39" t="s">
        <v>14</v>
      </c>
      <c r="Q39" s="3">
        <v>1</v>
      </c>
    </row>
    <row r="40" spans="1:17">
      <c r="A40" s="54" t="str">
        <f>F11</f>
        <v>is3800-ExposureComplete</v>
      </c>
      <c r="B40" s="118" t="s">
        <v>11</v>
      </c>
      <c r="C40" s="31" t="str">
        <f>H11</f>
        <v>%I1.2</v>
      </c>
      <c r="E40" s="134"/>
      <c r="F40" s="115" t="str">
        <f t="shared" si="0"/>
        <v>is3800-ExternalEvent[2]</v>
      </c>
      <c r="G40" s="11" t="s">
        <v>11</v>
      </c>
      <c r="H40" s="4" t="str">
        <f t="shared" si="5"/>
        <v>%Q3.2</v>
      </c>
      <c r="M40" s="137"/>
      <c r="N40" s="87"/>
      <c r="O40" t="s">
        <v>220</v>
      </c>
      <c r="P40" t="s">
        <v>14</v>
      </c>
      <c r="Q40" s="3">
        <v>2</v>
      </c>
    </row>
    <row r="41" spans="1:17">
      <c r="A41" s="54" t="str">
        <f>F7</f>
        <v>is3800-ClearExposureComplete</v>
      </c>
      <c r="B41" s="118" t="s">
        <v>11</v>
      </c>
      <c r="C41" s="118" t="str">
        <f>H7</f>
        <v>%Q1.2</v>
      </c>
      <c r="E41" s="134"/>
      <c r="F41" s="115" t="str">
        <f t="shared" si="0"/>
        <v>is3800-ExternalEvent[3]</v>
      </c>
      <c r="G41" s="11" t="s">
        <v>11</v>
      </c>
      <c r="H41" s="4" t="str">
        <f t="shared" si="5"/>
        <v>%Q3.3</v>
      </c>
      <c r="M41" s="137"/>
      <c r="N41" s="87"/>
      <c r="O41" t="s">
        <v>221</v>
      </c>
      <c r="P41" t="s">
        <v>14</v>
      </c>
      <c r="Q41" s="3">
        <v>3</v>
      </c>
    </row>
    <row r="42" spans="1:17">
      <c r="A42" s="54" t="str">
        <f>F12</f>
        <v>is3800-AcquisitionError</v>
      </c>
      <c r="B42" s="118" t="s">
        <v>11</v>
      </c>
      <c r="C42" s="31" t="str">
        <f>H12</f>
        <v>%I1.3</v>
      </c>
      <c r="E42" s="134"/>
      <c r="F42" s="115" t="str">
        <f t="shared" si="0"/>
        <v>is3800-ExternalEvent[4]</v>
      </c>
      <c r="G42" s="11" t="s">
        <v>11</v>
      </c>
      <c r="H42" s="4" t="str">
        <f t="shared" si="5"/>
        <v>%Q3.4</v>
      </c>
      <c r="M42" s="137"/>
      <c r="N42" s="87"/>
      <c r="O42" t="s">
        <v>222</v>
      </c>
      <c r="P42" t="s">
        <v>14</v>
      </c>
      <c r="Q42" s="3">
        <v>4</v>
      </c>
    </row>
    <row r="43" spans="1:17">
      <c r="A43" s="54" t="str">
        <f>F23</f>
        <v>is3800-Reserved</v>
      </c>
      <c r="B43" s="118" t="s">
        <v>11</v>
      </c>
      <c r="C43" s="31" t="str">
        <f>H23</f>
        <v>%I6.0</v>
      </c>
      <c r="E43" s="134"/>
      <c r="F43" s="115" t="str">
        <f t="shared" si="0"/>
        <v>is3800-ExternalEvent[5]</v>
      </c>
      <c r="G43" s="11" t="s">
        <v>11</v>
      </c>
      <c r="H43" s="4" t="str">
        <f t="shared" si="5"/>
        <v>%Q3.5</v>
      </c>
      <c r="M43" s="137"/>
      <c r="N43" s="87"/>
      <c r="O43" t="s">
        <v>223</v>
      </c>
      <c r="P43" t="s">
        <v>14</v>
      </c>
      <c r="Q43" s="3">
        <v>5</v>
      </c>
    </row>
    <row r="44" spans="1:17">
      <c r="A44" s="54" t="str">
        <f>F24</f>
        <v>is3800-InspectionCompleted</v>
      </c>
      <c r="B44" s="118" t="s">
        <v>11</v>
      </c>
      <c r="C44" s="31" t="str">
        <f>H24</f>
        <v>%I6.1</v>
      </c>
      <c r="E44" s="134"/>
      <c r="F44" s="115" t="str">
        <f t="shared" si="0"/>
        <v>is3800-ExternalEvent[6]</v>
      </c>
      <c r="G44" s="11" t="s">
        <v>11</v>
      </c>
      <c r="H44" s="4" t="str">
        <f t="shared" si="5"/>
        <v>%Q3.6</v>
      </c>
      <c r="M44" s="137"/>
      <c r="N44" s="87"/>
      <c r="O44" t="s">
        <v>224</v>
      </c>
      <c r="P44" t="s">
        <v>14</v>
      </c>
      <c r="Q44" s="3">
        <v>6</v>
      </c>
    </row>
    <row r="45" spans="1:17">
      <c r="A45" s="54" t="str">
        <f>F31</f>
        <v>is3800-ResultsPassed (Job)</v>
      </c>
      <c r="B45" s="118" t="s">
        <v>11</v>
      </c>
      <c r="C45" s="31" t="str">
        <f>H31</f>
        <v>%I7.0</v>
      </c>
      <c r="E45" s="135"/>
      <c r="F45" s="115" t="str">
        <f t="shared" si="0"/>
        <v>is3800-ExternalEvent[7]</v>
      </c>
      <c r="G45" s="12" t="s">
        <v>11</v>
      </c>
      <c r="H45" s="20" t="str">
        <f t="shared" si="5"/>
        <v>%Q3.7</v>
      </c>
      <c r="M45" s="137"/>
      <c r="N45" s="87"/>
      <c r="O45" t="s">
        <v>225</v>
      </c>
      <c r="P45" t="s">
        <v>14</v>
      </c>
      <c r="Q45" s="3">
        <v>7</v>
      </c>
    </row>
    <row r="46" spans="1:17">
      <c r="A46" s="54" t="str">
        <f>F17</f>
        <v>is3800-AcquisitionID</v>
      </c>
      <c r="B46" s="31" t="s">
        <v>22</v>
      </c>
      <c r="C46" s="31" t="str">
        <f>H17</f>
        <v>%IW3</v>
      </c>
      <c r="E46" s="133" t="s">
        <v>521</v>
      </c>
      <c r="F46" s="115" t="str">
        <f t="shared" si="0"/>
        <v>is3800-ExternalEventAck[0]</v>
      </c>
      <c r="G46" s="10" t="s">
        <v>11</v>
      </c>
      <c r="H46" s="25" t="str">
        <f t="shared" ref="H46:H53" si="6">P46&amp;$B$13&amp;"."&amp;Q46</f>
        <v>%I10.0</v>
      </c>
      <c r="M46" s="137"/>
      <c r="N46" s="87" t="s">
        <v>515</v>
      </c>
      <c r="O46" t="s">
        <v>227</v>
      </c>
      <c r="P46" t="s">
        <v>80</v>
      </c>
      <c r="Q46" s="3">
        <v>0</v>
      </c>
    </row>
    <row r="47" spans="1:17">
      <c r="A47" s="54" t="str">
        <f>F18</f>
        <v>is3800-BufferResultsEnable</v>
      </c>
      <c r="B47" s="31" t="s">
        <v>11</v>
      </c>
      <c r="C47" s="31" t="str">
        <f>H18</f>
        <v>%Q2.0</v>
      </c>
      <c r="E47" s="134"/>
      <c r="F47" s="115" t="str">
        <f t="shared" si="0"/>
        <v>is3800-ExternalEventAck[1]</v>
      </c>
      <c r="G47" s="11" t="s">
        <v>11</v>
      </c>
      <c r="H47" s="4" t="str">
        <f t="shared" si="6"/>
        <v>%I10.1</v>
      </c>
      <c r="M47" s="137"/>
      <c r="N47" s="11"/>
      <c r="O47" t="s">
        <v>228</v>
      </c>
      <c r="P47" t="s">
        <v>80</v>
      </c>
      <c r="Q47" s="3">
        <v>1</v>
      </c>
    </row>
    <row r="48" spans="1:17">
      <c r="A48" s="54" t="str">
        <f>F25</f>
        <v>is3800-ResultsBufferOverrun</v>
      </c>
      <c r="B48" s="31" t="s">
        <v>11</v>
      </c>
      <c r="C48" s="31" t="str">
        <f>H25</f>
        <v>%I6.2</v>
      </c>
      <c r="E48" s="134"/>
      <c r="F48" s="115" t="str">
        <f t="shared" si="0"/>
        <v>is3800-ExternalEventAck[2]</v>
      </c>
      <c r="G48" s="11" t="s">
        <v>11</v>
      </c>
      <c r="H48" s="4" t="str">
        <f t="shared" si="6"/>
        <v>%I10.2</v>
      </c>
      <c r="M48" s="137"/>
      <c r="N48" s="11"/>
      <c r="O48" t="s">
        <v>229</v>
      </c>
      <c r="P48" t="s">
        <v>80</v>
      </c>
      <c r="Q48" s="3">
        <v>2</v>
      </c>
    </row>
    <row r="49" spans="1:17">
      <c r="A49" s="54" t="str">
        <f>F33</f>
        <v>is3800-Error</v>
      </c>
      <c r="B49" s="31" t="s">
        <v>11</v>
      </c>
      <c r="C49" s="31" t="str">
        <f>H33</f>
        <v>%I7.7</v>
      </c>
      <c r="E49" s="134"/>
      <c r="F49" s="115" t="str">
        <f t="shared" si="0"/>
        <v>is3800-ExternalEventAck[3]</v>
      </c>
      <c r="G49" s="11" t="s">
        <v>11</v>
      </c>
      <c r="H49" s="4" t="str">
        <f t="shared" si="6"/>
        <v>%I10.3</v>
      </c>
      <c r="M49" s="137"/>
      <c r="N49" s="11"/>
      <c r="O49" t="s">
        <v>230</v>
      </c>
      <c r="P49" t="s">
        <v>80</v>
      </c>
      <c r="Q49" s="3">
        <v>3</v>
      </c>
    </row>
    <row r="50" spans="1:17">
      <c r="A50" s="54" t="str">
        <f>F22</f>
        <v>is3800-ClearError</v>
      </c>
      <c r="B50" s="31" t="s">
        <v>11</v>
      </c>
      <c r="C50" s="31" t="str">
        <f>H22</f>
        <v>%Q2.7</v>
      </c>
      <c r="E50" s="134"/>
      <c r="F50" s="115" t="str">
        <f t="shared" si="0"/>
        <v>is3800-ExternalEventAck[4]</v>
      </c>
      <c r="G50" s="11" t="s">
        <v>11</v>
      </c>
      <c r="H50" s="4" t="str">
        <f t="shared" si="6"/>
        <v>%I10.4</v>
      </c>
      <c r="M50" s="137"/>
      <c r="N50" s="11"/>
      <c r="O50" t="s">
        <v>231</v>
      </c>
      <c r="P50" t="s">
        <v>80</v>
      </c>
      <c r="Q50" s="3">
        <v>4</v>
      </c>
    </row>
    <row r="51" spans="1:17">
      <c r="A51" s="54" t="str">
        <f>F34</f>
        <v>is3800-ErrorCode</v>
      </c>
      <c r="B51" s="31" t="s">
        <v>87</v>
      </c>
      <c r="C51" s="31" t="str">
        <f>H34</f>
        <v>%IW8</v>
      </c>
      <c r="E51" s="134"/>
      <c r="F51" s="115" t="str">
        <f t="shared" si="0"/>
        <v>is3800-ExternalEventAck[5]</v>
      </c>
      <c r="G51" s="11" t="s">
        <v>11</v>
      </c>
      <c r="H51" s="4" t="str">
        <f t="shared" si="6"/>
        <v>%I10.5</v>
      </c>
      <c r="M51" s="137"/>
      <c r="N51" s="11"/>
      <c r="O51" t="s">
        <v>232</v>
      </c>
      <c r="P51" t="s">
        <v>80</v>
      </c>
      <c r="Q51" s="3">
        <v>5</v>
      </c>
    </row>
    <row r="52" spans="1:17">
      <c r="A52" s="54" t="str">
        <f>F21</f>
        <v>is3800-ExecuteCommand/JobLoad</v>
      </c>
      <c r="B52" s="31" t="s">
        <v>11</v>
      </c>
      <c r="C52" s="31" t="str">
        <f>H21</f>
        <v>%Q2.3</v>
      </c>
      <c r="E52" s="134"/>
      <c r="F52" s="115" t="str">
        <f t="shared" si="0"/>
        <v>is3800-ExternalEventAck[6]</v>
      </c>
      <c r="G52" s="11" t="s">
        <v>11</v>
      </c>
      <c r="H52" s="4" t="str">
        <f t="shared" si="6"/>
        <v>%I10.6</v>
      </c>
      <c r="M52" s="137"/>
      <c r="N52" s="11"/>
      <c r="O52" t="s">
        <v>233</v>
      </c>
      <c r="P52" t="s">
        <v>80</v>
      </c>
      <c r="Q52" s="3">
        <v>6</v>
      </c>
    </row>
    <row r="53" spans="1:17">
      <c r="A53" s="54" t="str">
        <f>F35</f>
        <v>is3800-CommandID</v>
      </c>
      <c r="B53" s="31" t="s">
        <v>87</v>
      </c>
      <c r="C53" s="31" t="str">
        <f>H35</f>
        <v>%QW64</v>
      </c>
      <c r="E53" s="135"/>
      <c r="F53" s="115" t="str">
        <f t="shared" si="0"/>
        <v>is3800-ExternalEventAck[7]</v>
      </c>
      <c r="G53" s="12" t="s">
        <v>11</v>
      </c>
      <c r="H53" s="20" t="str">
        <f t="shared" si="6"/>
        <v>%I10.7</v>
      </c>
      <c r="M53" s="137"/>
      <c r="N53" s="11"/>
      <c r="O53" t="s">
        <v>234</v>
      </c>
      <c r="P53" t="s">
        <v>80</v>
      </c>
      <c r="Q53" s="3">
        <v>7</v>
      </c>
    </row>
    <row r="54" spans="1:17">
      <c r="A54" s="54" t="str">
        <f>F36</f>
        <v>is3800-Current Job ID</v>
      </c>
      <c r="B54" s="31" t="s">
        <v>87</v>
      </c>
      <c r="C54" s="31" t="str">
        <f>H36</f>
        <v>%IW68</v>
      </c>
      <c r="E54" s="133" t="s">
        <v>194</v>
      </c>
      <c r="F54" s="115" t="str">
        <f t="shared" si="0"/>
        <v>is3800-UserData[0]</v>
      </c>
      <c r="G54" s="10" t="s">
        <v>235</v>
      </c>
      <c r="H54" s="25" t="str">
        <f t="shared" ref="H54:H87" si="7">P54&amp;Q54</f>
        <v>%QB66</v>
      </c>
      <c r="M54" s="137"/>
      <c r="N54" s="87" t="s">
        <v>194</v>
      </c>
      <c r="O54" t="s">
        <v>237</v>
      </c>
      <c r="P54" t="s">
        <v>238</v>
      </c>
      <c r="Q54">
        <f>$B$14</f>
        <v>66</v>
      </c>
    </row>
    <row r="55" spans="1:17">
      <c r="A55" s="54" t="str">
        <f>F37</f>
        <v>is3800-CommandResultCode</v>
      </c>
      <c r="B55" s="31" t="s">
        <v>87</v>
      </c>
      <c r="C55" s="31" t="str">
        <f>H37</f>
        <v>%IW70</v>
      </c>
      <c r="E55" s="134"/>
      <c r="F55" s="115" t="str">
        <f t="shared" si="0"/>
        <v>is3800-UserData[1]</v>
      </c>
      <c r="G55" s="11" t="s">
        <v>235</v>
      </c>
      <c r="H55" s="4" t="str">
        <f t="shared" si="7"/>
        <v>%QB67</v>
      </c>
      <c r="M55" s="137"/>
      <c r="N55" s="11"/>
      <c r="O55" t="s">
        <v>239</v>
      </c>
      <c r="P55" t="s">
        <v>238</v>
      </c>
      <c r="Q55">
        <f>SUM(Q54+1)</f>
        <v>67</v>
      </c>
    </row>
    <row r="56" spans="1:17">
      <c r="A56" s="54" t="str">
        <f>F27</f>
        <v>is3800-CommandExecuting</v>
      </c>
      <c r="B56" s="31" t="s">
        <v>11</v>
      </c>
      <c r="C56" s="31" t="str">
        <f>H27</f>
        <v>%I6.4</v>
      </c>
      <c r="E56" s="134"/>
      <c r="F56" s="115" t="str">
        <f t="shared" si="0"/>
        <v>is3800-UserData[2]</v>
      </c>
      <c r="G56" s="11" t="s">
        <v>235</v>
      </c>
      <c r="H56" s="4" t="str">
        <f t="shared" si="7"/>
        <v>%QB68</v>
      </c>
      <c r="M56" s="137"/>
      <c r="N56" s="11"/>
      <c r="O56" t="s">
        <v>240</v>
      </c>
      <c r="P56" t="s">
        <v>238</v>
      </c>
      <c r="Q56">
        <f t="shared" ref="Q56:Q69" si="8">SUM(Q55+1)</f>
        <v>68</v>
      </c>
    </row>
    <row r="57" spans="1:17">
      <c r="A57" s="54" t="str">
        <f>F28</f>
        <v>is3800-CommandCompleted</v>
      </c>
      <c r="B57" s="31" t="s">
        <v>11</v>
      </c>
      <c r="C57" s="31" t="str">
        <f>H28</f>
        <v>%I6.5</v>
      </c>
      <c r="E57" s="134"/>
      <c r="F57" s="115" t="str">
        <f t="shared" si="0"/>
        <v>is3800-UserData[3]</v>
      </c>
      <c r="G57" s="11" t="s">
        <v>235</v>
      </c>
      <c r="H57" s="4" t="str">
        <f t="shared" si="7"/>
        <v>%QB69</v>
      </c>
      <c r="M57" s="137"/>
      <c r="N57" s="11"/>
      <c r="O57" t="s">
        <v>241</v>
      </c>
      <c r="P57" t="s">
        <v>238</v>
      </c>
      <c r="Q57">
        <f t="shared" si="8"/>
        <v>69</v>
      </c>
    </row>
    <row r="58" spans="1:17">
      <c r="A58" s="54" t="str">
        <f>F29</f>
        <v>is3800-CommandFailed</v>
      </c>
      <c r="B58" s="31" t="s">
        <v>11</v>
      </c>
      <c r="C58" s="31" t="str">
        <f>H29</f>
        <v>%I6.6</v>
      </c>
      <c r="E58" s="134"/>
      <c r="F58" s="115" t="str">
        <f t="shared" si="0"/>
        <v>is3800-UserData[4]</v>
      </c>
      <c r="G58" s="11" t="s">
        <v>235</v>
      </c>
      <c r="H58" s="4" t="str">
        <f t="shared" si="7"/>
        <v>%QB70</v>
      </c>
      <c r="M58" s="137"/>
      <c r="N58" s="11"/>
      <c r="O58" t="s">
        <v>242</v>
      </c>
      <c r="P58" t="s">
        <v>238</v>
      </c>
      <c r="Q58">
        <f t="shared" si="8"/>
        <v>70</v>
      </c>
    </row>
    <row r="59" spans="1:17">
      <c r="A59" s="54" t="str">
        <f>F20</f>
        <v>is3800-SetUserData</v>
      </c>
      <c r="B59" s="31" t="s">
        <v>11</v>
      </c>
      <c r="C59" s="31" t="str">
        <f>H20</f>
        <v>%Q2.2</v>
      </c>
      <c r="E59" s="134"/>
      <c r="F59" s="115" t="str">
        <f t="shared" si="0"/>
        <v>is3800-UserData[5]</v>
      </c>
      <c r="G59" s="11" t="s">
        <v>235</v>
      </c>
      <c r="H59" s="4" t="str">
        <f t="shared" si="7"/>
        <v>%QB71</v>
      </c>
      <c r="M59" s="137"/>
      <c r="N59" s="11"/>
      <c r="O59" t="s">
        <v>243</v>
      </c>
      <c r="P59" t="s">
        <v>238</v>
      </c>
      <c r="Q59">
        <f t="shared" si="8"/>
        <v>71</v>
      </c>
    </row>
    <row r="60" spans="1:17">
      <c r="A60" s="54" t="str">
        <f>F30</f>
        <v>is3800-SetUserDataAck</v>
      </c>
      <c r="B60" s="31" t="s">
        <v>11</v>
      </c>
      <c r="C60" s="31" t="str">
        <f>H30</f>
        <v>%I6.7</v>
      </c>
      <c r="E60" s="134"/>
      <c r="F60" s="115" t="str">
        <f t="shared" si="0"/>
        <v>is3800-UserData[6]</v>
      </c>
      <c r="G60" s="11" t="s">
        <v>235</v>
      </c>
      <c r="H60" s="4" t="str">
        <f t="shared" si="7"/>
        <v>%QB72</v>
      </c>
      <c r="M60" s="137"/>
      <c r="N60" s="11"/>
      <c r="O60" t="s">
        <v>244</v>
      </c>
      <c r="P60" t="s">
        <v>238</v>
      </c>
      <c r="Q60">
        <f t="shared" si="8"/>
        <v>72</v>
      </c>
    </row>
    <row r="61" spans="1:17">
      <c r="A61" s="54" t="str">
        <f t="shared" ref="A61:A76" si="9">F54</f>
        <v>is3800-UserData[0]</v>
      </c>
      <c r="B61" s="31" t="s">
        <v>235</v>
      </c>
      <c r="C61" s="31" t="str">
        <f t="shared" ref="C61:C76" si="10">H54</f>
        <v>%QB66</v>
      </c>
      <c r="D61" t="s">
        <v>236</v>
      </c>
      <c r="E61" s="134"/>
      <c r="F61" s="115" t="str">
        <f t="shared" si="0"/>
        <v>is3800-UserData[7]</v>
      </c>
      <c r="G61" s="11" t="s">
        <v>235</v>
      </c>
      <c r="H61" s="4" t="str">
        <f t="shared" si="7"/>
        <v>%QB73</v>
      </c>
      <c r="M61" s="137"/>
      <c r="N61" s="11"/>
      <c r="O61" t="s">
        <v>245</v>
      </c>
      <c r="P61" t="s">
        <v>238</v>
      </c>
      <c r="Q61">
        <f t="shared" si="8"/>
        <v>73</v>
      </c>
    </row>
    <row r="62" spans="1:17">
      <c r="A62" s="54" t="str">
        <f t="shared" si="9"/>
        <v>is3800-UserData[1]</v>
      </c>
      <c r="B62" s="31" t="s">
        <v>235</v>
      </c>
      <c r="C62" s="31" t="str">
        <f t="shared" si="10"/>
        <v>%QB67</v>
      </c>
      <c r="E62" s="134"/>
      <c r="F62" s="115" t="str">
        <f t="shared" si="0"/>
        <v>is3800-UserData[8]</v>
      </c>
      <c r="G62" s="11" t="s">
        <v>235</v>
      </c>
      <c r="H62" s="4" t="str">
        <f t="shared" si="7"/>
        <v>%QB74</v>
      </c>
      <c r="M62" s="137"/>
      <c r="N62" s="11"/>
      <c r="O62" t="s">
        <v>246</v>
      </c>
      <c r="P62" t="s">
        <v>238</v>
      </c>
      <c r="Q62">
        <f t="shared" si="8"/>
        <v>74</v>
      </c>
    </row>
    <row r="63" spans="1:17">
      <c r="A63" s="54" t="str">
        <f t="shared" si="9"/>
        <v>is3800-UserData[2]</v>
      </c>
      <c r="B63" s="31" t="s">
        <v>235</v>
      </c>
      <c r="C63" s="31" t="str">
        <f t="shared" si="10"/>
        <v>%QB68</v>
      </c>
      <c r="E63" s="134"/>
      <c r="F63" s="115" t="str">
        <f t="shared" si="0"/>
        <v>is3800-UserData[9]</v>
      </c>
      <c r="G63" s="11" t="s">
        <v>235</v>
      </c>
      <c r="H63" s="4" t="str">
        <f t="shared" si="7"/>
        <v>%QB75</v>
      </c>
      <c r="M63" s="137"/>
      <c r="N63" s="11"/>
      <c r="O63" t="s">
        <v>247</v>
      </c>
      <c r="P63" t="s">
        <v>238</v>
      </c>
      <c r="Q63">
        <f t="shared" si="8"/>
        <v>75</v>
      </c>
    </row>
    <row r="64" spans="1:17">
      <c r="A64" s="54" t="str">
        <f t="shared" si="9"/>
        <v>is3800-UserData[3]</v>
      </c>
      <c r="B64" s="31" t="s">
        <v>235</v>
      </c>
      <c r="C64" s="31" t="str">
        <f t="shared" si="10"/>
        <v>%QB69</v>
      </c>
      <c r="E64" s="134"/>
      <c r="F64" s="115" t="str">
        <f t="shared" si="0"/>
        <v>is3800-UserData[10]</v>
      </c>
      <c r="G64" s="11" t="s">
        <v>235</v>
      </c>
      <c r="H64" s="4" t="str">
        <f t="shared" si="7"/>
        <v>%QB76</v>
      </c>
      <c r="M64" s="137"/>
      <c r="N64" s="11"/>
      <c r="O64" t="s">
        <v>248</v>
      </c>
      <c r="P64" t="s">
        <v>238</v>
      </c>
      <c r="Q64">
        <f t="shared" si="8"/>
        <v>76</v>
      </c>
    </row>
    <row r="65" spans="1:17">
      <c r="A65" s="54" t="str">
        <f t="shared" si="9"/>
        <v>is3800-UserData[4]</v>
      </c>
      <c r="B65" s="31" t="s">
        <v>235</v>
      </c>
      <c r="C65" s="31" t="str">
        <f t="shared" si="10"/>
        <v>%QB70</v>
      </c>
      <c r="E65" s="134"/>
      <c r="F65" s="115" t="str">
        <f t="shared" si="0"/>
        <v>is3800-UserData[11]</v>
      </c>
      <c r="G65" s="11" t="s">
        <v>235</v>
      </c>
      <c r="H65" s="4" t="str">
        <f t="shared" si="7"/>
        <v>%QB77</v>
      </c>
      <c r="M65" s="137"/>
      <c r="N65" s="11"/>
      <c r="O65" t="s">
        <v>249</v>
      </c>
      <c r="P65" t="s">
        <v>238</v>
      </c>
      <c r="Q65">
        <f t="shared" si="8"/>
        <v>77</v>
      </c>
    </row>
    <row r="66" spans="1:17">
      <c r="A66" s="54" t="str">
        <f t="shared" si="9"/>
        <v>is3800-UserData[5]</v>
      </c>
      <c r="B66" s="31" t="s">
        <v>235</v>
      </c>
      <c r="C66" s="31" t="str">
        <f t="shared" si="10"/>
        <v>%QB71</v>
      </c>
      <c r="E66" s="134"/>
      <c r="F66" s="115" t="str">
        <f t="shared" si="0"/>
        <v>is3800-UserData[12]</v>
      </c>
      <c r="G66" s="11" t="s">
        <v>235</v>
      </c>
      <c r="H66" s="4" t="str">
        <f t="shared" si="7"/>
        <v>%QB78</v>
      </c>
      <c r="M66" s="137"/>
      <c r="N66" s="11"/>
      <c r="O66" t="s">
        <v>250</v>
      </c>
      <c r="P66" t="s">
        <v>238</v>
      </c>
      <c r="Q66">
        <f t="shared" si="8"/>
        <v>78</v>
      </c>
    </row>
    <row r="67" spans="1:17">
      <c r="A67" s="54" t="str">
        <f t="shared" si="9"/>
        <v>is3800-UserData[6]</v>
      </c>
      <c r="B67" s="31" t="s">
        <v>235</v>
      </c>
      <c r="C67" s="31" t="str">
        <f t="shared" si="10"/>
        <v>%QB72</v>
      </c>
      <c r="E67" s="134"/>
      <c r="F67" s="115" t="str">
        <f t="shared" si="0"/>
        <v>is3800-UserData[13]</v>
      </c>
      <c r="G67" s="11" t="s">
        <v>235</v>
      </c>
      <c r="H67" s="4" t="str">
        <f t="shared" si="7"/>
        <v>%QB79</v>
      </c>
      <c r="M67" s="137"/>
      <c r="N67" s="11"/>
      <c r="O67" t="s">
        <v>251</v>
      </c>
      <c r="P67" t="s">
        <v>238</v>
      </c>
      <c r="Q67">
        <f t="shared" si="8"/>
        <v>79</v>
      </c>
    </row>
    <row r="68" spans="1:17">
      <c r="A68" s="54" t="str">
        <f t="shared" si="9"/>
        <v>is3800-UserData[7]</v>
      </c>
      <c r="B68" s="31" t="s">
        <v>235</v>
      </c>
      <c r="C68" s="31" t="str">
        <f t="shared" si="10"/>
        <v>%QB73</v>
      </c>
      <c r="E68" s="134"/>
      <c r="F68" s="115" t="str">
        <f t="shared" si="0"/>
        <v>is3800-UserData[14]</v>
      </c>
      <c r="G68" s="11" t="s">
        <v>235</v>
      </c>
      <c r="H68" s="4" t="str">
        <f t="shared" si="7"/>
        <v>%QB80</v>
      </c>
      <c r="M68" s="137"/>
      <c r="N68" s="11"/>
      <c r="O68" t="s">
        <v>252</v>
      </c>
      <c r="P68" t="s">
        <v>238</v>
      </c>
      <c r="Q68">
        <f t="shared" si="8"/>
        <v>80</v>
      </c>
    </row>
    <row r="69" spans="1:17">
      <c r="A69" s="54" t="str">
        <f t="shared" si="9"/>
        <v>is3800-UserData[8]</v>
      </c>
      <c r="B69" s="31" t="s">
        <v>235</v>
      </c>
      <c r="C69" s="31" t="str">
        <f t="shared" si="10"/>
        <v>%QB74</v>
      </c>
      <c r="E69" s="135"/>
      <c r="F69" s="115" t="str">
        <f t="shared" si="0"/>
        <v>is3800-UserData[15]</v>
      </c>
      <c r="G69" s="12" t="s">
        <v>235</v>
      </c>
      <c r="H69" s="20" t="str">
        <f t="shared" si="7"/>
        <v>%QB81</v>
      </c>
      <c r="M69" s="137"/>
      <c r="N69" s="11"/>
      <c r="O69" t="s">
        <v>253</v>
      </c>
      <c r="P69" t="s">
        <v>238</v>
      </c>
      <c r="Q69">
        <f t="shared" si="8"/>
        <v>81</v>
      </c>
    </row>
    <row r="70" spans="1:17">
      <c r="A70" s="54" t="str">
        <f t="shared" si="9"/>
        <v>is3800-UserData[9]</v>
      </c>
      <c r="B70" s="31" t="s">
        <v>235</v>
      </c>
      <c r="C70" s="31" t="str">
        <f t="shared" si="10"/>
        <v>%QB75</v>
      </c>
      <c r="E70" s="134" t="s">
        <v>195</v>
      </c>
      <c r="F70" s="115" t="str">
        <f t="shared" ref="F70:F87" si="11">$B$2&amp;"-"&amp;O70</f>
        <v>is3800-InspectionID</v>
      </c>
      <c r="G70" s="11" t="s">
        <v>87</v>
      </c>
      <c r="H70" s="4" t="str">
        <f t="shared" si="7"/>
        <v>%IW72</v>
      </c>
      <c r="M70" s="137"/>
      <c r="N70" s="87" t="s">
        <v>195</v>
      </c>
      <c r="O70" t="s">
        <v>254</v>
      </c>
      <c r="P70" t="s">
        <v>89</v>
      </c>
      <c r="Q70">
        <f>$B$15</f>
        <v>72</v>
      </c>
    </row>
    <row r="71" spans="1:17">
      <c r="A71" s="54" t="str">
        <f t="shared" si="9"/>
        <v>is3800-UserData[10]</v>
      </c>
      <c r="B71" s="31" t="s">
        <v>235</v>
      </c>
      <c r="C71" s="31" t="str">
        <f t="shared" si="10"/>
        <v>%QB76</v>
      </c>
      <c r="E71" s="134"/>
      <c r="F71" s="115" t="str">
        <f t="shared" si="11"/>
        <v>is3800-InspectionResultsCode</v>
      </c>
      <c r="G71" s="11" t="s">
        <v>22</v>
      </c>
      <c r="H71" s="4" t="str">
        <f t="shared" si="7"/>
        <v>%IW74</v>
      </c>
      <c r="M71" s="137"/>
      <c r="N71" s="11"/>
      <c r="O71" t="s">
        <v>255</v>
      </c>
      <c r="P71" t="s">
        <v>89</v>
      </c>
      <c r="Q71">
        <f>SUM($B$15+2)</f>
        <v>74</v>
      </c>
    </row>
    <row r="72" spans="1:17">
      <c r="A72" s="54" t="str">
        <f t="shared" si="9"/>
        <v>is3800-UserData[11]</v>
      </c>
      <c r="B72" s="31" t="s">
        <v>235</v>
      </c>
      <c r="C72" s="31" t="str">
        <f t="shared" si="10"/>
        <v>%QB77</v>
      </c>
      <c r="E72" s="134"/>
      <c r="F72" s="115" t="str">
        <f t="shared" si="11"/>
        <v>is3800-InspectionResults[0]</v>
      </c>
      <c r="G72" s="11" t="s">
        <v>235</v>
      </c>
      <c r="H72" s="4" t="str">
        <f t="shared" si="7"/>
        <v>%IB76</v>
      </c>
      <c r="M72" s="137"/>
      <c r="N72" s="11"/>
      <c r="O72" t="s">
        <v>256</v>
      </c>
      <c r="P72" t="s">
        <v>257</v>
      </c>
      <c r="Q72">
        <f>SUM(Q71+2)</f>
        <v>76</v>
      </c>
    </row>
    <row r="73" spans="1:17">
      <c r="A73" s="54" t="str">
        <f t="shared" si="9"/>
        <v>is3800-UserData[12]</v>
      </c>
      <c r="B73" s="31" t="s">
        <v>235</v>
      </c>
      <c r="C73" s="31" t="str">
        <f t="shared" si="10"/>
        <v>%QB78</v>
      </c>
      <c r="E73" s="134"/>
      <c r="F73" s="115" t="str">
        <f t="shared" si="11"/>
        <v>is3800-InspectionResults[1]</v>
      </c>
      <c r="G73" s="11" t="s">
        <v>235</v>
      </c>
      <c r="H73" s="4" t="str">
        <f t="shared" si="7"/>
        <v>%IB77</v>
      </c>
      <c r="M73" s="137"/>
      <c r="N73" s="11"/>
      <c r="O73" t="s">
        <v>258</v>
      </c>
      <c r="P73" t="s">
        <v>257</v>
      </c>
      <c r="Q73">
        <f t="shared" ref="Q73:Q87" si="12">SUM(Q72+1)</f>
        <v>77</v>
      </c>
    </row>
    <row r="74" spans="1:17">
      <c r="A74" s="54" t="str">
        <f t="shared" si="9"/>
        <v>is3800-UserData[13]</v>
      </c>
      <c r="B74" s="31" t="s">
        <v>235</v>
      </c>
      <c r="C74" s="31" t="str">
        <f t="shared" si="10"/>
        <v>%QB79</v>
      </c>
      <c r="E74" s="134"/>
      <c r="F74" s="115" t="str">
        <f t="shared" si="11"/>
        <v>is3800-InspectionResults[2]</v>
      </c>
      <c r="G74" s="11" t="s">
        <v>235</v>
      </c>
      <c r="H74" s="4" t="str">
        <f t="shared" si="7"/>
        <v>%IB78</v>
      </c>
      <c r="M74" s="137"/>
      <c r="N74" s="11"/>
      <c r="O74" t="s">
        <v>259</v>
      </c>
      <c r="P74" t="s">
        <v>257</v>
      </c>
      <c r="Q74">
        <f t="shared" si="12"/>
        <v>78</v>
      </c>
    </row>
    <row r="75" spans="1:17">
      <c r="A75" s="54" t="str">
        <f t="shared" si="9"/>
        <v>is3800-UserData[14]</v>
      </c>
      <c r="B75" s="31" t="s">
        <v>235</v>
      </c>
      <c r="C75" s="31" t="str">
        <f t="shared" si="10"/>
        <v>%QB80</v>
      </c>
      <c r="E75" s="134"/>
      <c r="F75" s="115" t="str">
        <f t="shared" si="11"/>
        <v>is3800-InspectionResults[3]</v>
      </c>
      <c r="G75" s="11" t="s">
        <v>235</v>
      </c>
      <c r="H75" s="4" t="str">
        <f t="shared" si="7"/>
        <v>%IB79</v>
      </c>
      <c r="M75" s="137"/>
      <c r="N75" s="11"/>
      <c r="O75" t="s">
        <v>260</v>
      </c>
      <c r="P75" t="s">
        <v>257</v>
      </c>
      <c r="Q75">
        <f t="shared" si="12"/>
        <v>79</v>
      </c>
    </row>
    <row r="76" spans="1:17">
      <c r="A76" s="54" t="str">
        <f t="shared" si="9"/>
        <v>is3800-UserData[15]</v>
      </c>
      <c r="B76" s="31" t="s">
        <v>235</v>
      </c>
      <c r="C76" s="31" t="str">
        <f t="shared" si="10"/>
        <v>%QB81</v>
      </c>
      <c r="E76" s="134"/>
      <c r="F76" s="115" t="str">
        <f t="shared" si="11"/>
        <v>is3800-InspectionResults[4]</v>
      </c>
      <c r="G76" s="11" t="s">
        <v>235</v>
      </c>
      <c r="H76" s="4" t="str">
        <f t="shared" si="7"/>
        <v>%IB80</v>
      </c>
      <c r="M76" s="29"/>
      <c r="N76" s="11"/>
      <c r="O76" t="s">
        <v>261</v>
      </c>
      <c r="P76" t="s">
        <v>257</v>
      </c>
      <c r="Q76">
        <f t="shared" si="12"/>
        <v>80</v>
      </c>
    </row>
    <row r="77" spans="1:17">
      <c r="A77" s="54" t="str">
        <f>F38</f>
        <v>is3800-ExternalEvent[0]</v>
      </c>
      <c r="B77" s="31" t="s">
        <v>11</v>
      </c>
      <c r="C77" s="31" t="str">
        <f>H38</f>
        <v>%Q3.0</v>
      </c>
      <c r="E77" s="134"/>
      <c r="F77" s="54" t="str">
        <f t="shared" si="11"/>
        <v>is3800-InspectionResults[5]</v>
      </c>
      <c r="G77" s="11" t="s">
        <v>235</v>
      </c>
      <c r="H77" s="4" t="str">
        <f t="shared" si="7"/>
        <v>%IB81</v>
      </c>
      <c r="N77" s="11"/>
      <c r="O77" t="s">
        <v>262</v>
      </c>
      <c r="P77" t="s">
        <v>257</v>
      </c>
      <c r="Q77">
        <f t="shared" si="12"/>
        <v>81</v>
      </c>
    </row>
    <row r="78" spans="1:17">
      <c r="A78" s="54" t="str">
        <f>F46</f>
        <v>is3800-ExternalEventAck[0]</v>
      </c>
      <c r="B78" s="31" t="s">
        <v>11</v>
      </c>
      <c r="C78" s="31" t="str">
        <f>H46</f>
        <v>%I10.0</v>
      </c>
      <c r="E78" s="134"/>
      <c r="F78" s="54" t="str">
        <f t="shared" si="11"/>
        <v>is3800-InspectionResults[6]</v>
      </c>
      <c r="G78" s="11" t="s">
        <v>235</v>
      </c>
      <c r="H78" s="4" t="str">
        <f t="shared" si="7"/>
        <v>%IB82</v>
      </c>
      <c r="N78" s="11"/>
      <c r="O78" t="s">
        <v>263</v>
      </c>
      <c r="P78" t="s">
        <v>257</v>
      </c>
      <c r="Q78">
        <f t="shared" si="12"/>
        <v>82</v>
      </c>
    </row>
    <row r="79" spans="1:17">
      <c r="A79" s="54" t="str">
        <f>F39</f>
        <v>is3800-ExternalEvent[1]</v>
      </c>
      <c r="B79" s="31" t="s">
        <v>11</v>
      </c>
      <c r="C79" s="31" t="str">
        <f>H39</f>
        <v>%Q3.1</v>
      </c>
      <c r="E79" s="134"/>
      <c r="F79" s="54" t="str">
        <f t="shared" si="11"/>
        <v>is3800-InspectionResults[7]</v>
      </c>
      <c r="G79" s="11" t="s">
        <v>235</v>
      </c>
      <c r="H79" s="4" t="str">
        <f t="shared" si="7"/>
        <v>%IB83</v>
      </c>
      <c r="N79" s="11"/>
      <c r="O79" t="s">
        <v>264</v>
      </c>
      <c r="P79" t="s">
        <v>257</v>
      </c>
      <c r="Q79">
        <f t="shared" si="12"/>
        <v>83</v>
      </c>
    </row>
    <row r="80" spans="1:17">
      <c r="A80" s="54" t="str">
        <f>F47</f>
        <v>is3800-ExternalEventAck[1]</v>
      </c>
      <c r="B80" s="31" t="s">
        <v>11</v>
      </c>
      <c r="C80" s="31" t="str">
        <f>H47</f>
        <v>%I10.1</v>
      </c>
      <c r="E80" s="134"/>
      <c r="F80" s="54" t="str">
        <f t="shared" si="11"/>
        <v>is3800-InspectionResults[8]</v>
      </c>
      <c r="G80" s="11" t="s">
        <v>235</v>
      </c>
      <c r="H80" s="4" t="str">
        <f t="shared" si="7"/>
        <v>%IB84</v>
      </c>
      <c r="N80" s="11"/>
      <c r="O80" t="s">
        <v>265</v>
      </c>
      <c r="P80" t="s">
        <v>257</v>
      </c>
      <c r="Q80">
        <f t="shared" si="12"/>
        <v>84</v>
      </c>
    </row>
    <row r="81" spans="1:17">
      <c r="A81" s="54" t="str">
        <f>F40</f>
        <v>is3800-ExternalEvent[2]</v>
      </c>
      <c r="B81" s="31" t="s">
        <v>11</v>
      </c>
      <c r="C81" s="31" t="str">
        <f>H40</f>
        <v>%Q3.2</v>
      </c>
      <c r="E81" s="134"/>
      <c r="F81" s="54" t="str">
        <f t="shared" si="11"/>
        <v>is3800-InspectionResults[9]</v>
      </c>
      <c r="G81" s="11" t="s">
        <v>235</v>
      </c>
      <c r="H81" s="4" t="str">
        <f t="shared" si="7"/>
        <v>%IB85</v>
      </c>
      <c r="N81" s="11"/>
      <c r="O81" t="s">
        <v>266</v>
      </c>
      <c r="P81" t="s">
        <v>257</v>
      </c>
      <c r="Q81">
        <f t="shared" si="12"/>
        <v>85</v>
      </c>
    </row>
    <row r="82" spans="1:17">
      <c r="A82" s="54" t="str">
        <f>F48</f>
        <v>is3800-ExternalEventAck[2]</v>
      </c>
      <c r="B82" s="31" t="s">
        <v>11</v>
      </c>
      <c r="C82" s="31" t="str">
        <f>H48</f>
        <v>%I10.2</v>
      </c>
      <c r="E82" s="134"/>
      <c r="F82" s="54" t="str">
        <f t="shared" si="11"/>
        <v>is3800-InspectionResults[10]</v>
      </c>
      <c r="G82" s="11" t="s">
        <v>235</v>
      </c>
      <c r="H82" s="4" t="str">
        <f t="shared" si="7"/>
        <v>%IB86</v>
      </c>
      <c r="N82" s="11"/>
      <c r="O82" t="s">
        <v>267</v>
      </c>
      <c r="P82" t="s">
        <v>257</v>
      </c>
      <c r="Q82">
        <f t="shared" si="12"/>
        <v>86</v>
      </c>
    </row>
    <row r="83" spans="1:17">
      <c r="A83" s="54" t="str">
        <f>F41</f>
        <v>is3800-ExternalEvent[3]</v>
      </c>
      <c r="B83" s="31" t="s">
        <v>11</v>
      </c>
      <c r="C83" s="31" t="str">
        <f>H41</f>
        <v>%Q3.3</v>
      </c>
      <c r="E83" s="134"/>
      <c r="F83" s="54" t="str">
        <f t="shared" si="11"/>
        <v>is3800-InspectionResults[11]</v>
      </c>
      <c r="G83" s="11" t="s">
        <v>235</v>
      </c>
      <c r="H83" s="4" t="str">
        <f t="shared" si="7"/>
        <v>%IB87</v>
      </c>
      <c r="N83" s="11"/>
      <c r="O83" t="s">
        <v>268</v>
      </c>
      <c r="P83" t="s">
        <v>257</v>
      </c>
      <c r="Q83">
        <f t="shared" si="12"/>
        <v>87</v>
      </c>
    </row>
    <row r="84" spans="1:17">
      <c r="A84" s="54" t="str">
        <f>F49</f>
        <v>is3800-ExternalEventAck[3]</v>
      </c>
      <c r="B84" s="31" t="s">
        <v>11</v>
      </c>
      <c r="C84" s="31" t="str">
        <f>H49</f>
        <v>%I10.3</v>
      </c>
      <c r="E84" s="134"/>
      <c r="F84" s="54" t="str">
        <f t="shared" si="11"/>
        <v>is3800-InspectionResults[12]</v>
      </c>
      <c r="G84" s="11" t="s">
        <v>235</v>
      </c>
      <c r="H84" s="4" t="str">
        <f t="shared" si="7"/>
        <v>%IB88</v>
      </c>
      <c r="N84" s="11"/>
      <c r="O84" t="s">
        <v>269</v>
      </c>
      <c r="P84" t="s">
        <v>257</v>
      </c>
      <c r="Q84">
        <f t="shared" si="12"/>
        <v>88</v>
      </c>
    </row>
    <row r="85" spans="1:17">
      <c r="A85" s="54" t="str">
        <f>F42</f>
        <v>is3800-ExternalEvent[4]</v>
      </c>
      <c r="B85" s="31" t="s">
        <v>11</v>
      </c>
      <c r="C85" s="31" t="str">
        <f>H42</f>
        <v>%Q3.4</v>
      </c>
      <c r="E85" s="134"/>
      <c r="F85" s="54" t="str">
        <f t="shared" si="11"/>
        <v>is3800-InspectionResults[13]</v>
      </c>
      <c r="G85" s="11" t="s">
        <v>235</v>
      </c>
      <c r="H85" s="4" t="str">
        <f t="shared" si="7"/>
        <v>%IB89</v>
      </c>
      <c r="N85" s="11"/>
      <c r="O85" t="s">
        <v>270</v>
      </c>
      <c r="P85" t="s">
        <v>257</v>
      </c>
      <c r="Q85">
        <f t="shared" si="12"/>
        <v>89</v>
      </c>
    </row>
    <row r="86" spans="1:17">
      <c r="A86" s="54" t="str">
        <f>F50</f>
        <v>is3800-ExternalEventAck[4]</v>
      </c>
      <c r="B86" s="31" t="s">
        <v>11</v>
      </c>
      <c r="C86" s="31" t="str">
        <f>H50</f>
        <v>%I10.4</v>
      </c>
      <c r="E86" s="134"/>
      <c r="F86" s="54" t="str">
        <f t="shared" si="11"/>
        <v>is3800-InspectionResults[14]</v>
      </c>
      <c r="G86" s="11" t="s">
        <v>235</v>
      </c>
      <c r="H86" s="4" t="str">
        <f t="shared" si="7"/>
        <v>%IB90</v>
      </c>
      <c r="O86" t="s">
        <v>271</v>
      </c>
      <c r="P86" t="s">
        <v>257</v>
      </c>
      <c r="Q86">
        <f t="shared" si="12"/>
        <v>90</v>
      </c>
    </row>
    <row r="87" spans="1:17" ht="15" thickBot="1">
      <c r="A87" s="54" t="str">
        <f>F43</f>
        <v>is3800-ExternalEvent[5]</v>
      </c>
      <c r="B87" s="31" t="s">
        <v>11</v>
      </c>
      <c r="C87" s="31" t="str">
        <f>H43</f>
        <v>%Q3.5</v>
      </c>
      <c r="E87" s="144"/>
      <c r="F87" s="117" t="str">
        <f t="shared" si="11"/>
        <v>is3800-InspectionResults[15]</v>
      </c>
      <c r="G87" s="13" t="s">
        <v>235</v>
      </c>
      <c r="H87" s="2" t="str">
        <f t="shared" si="7"/>
        <v>%IB91</v>
      </c>
      <c r="O87" t="s">
        <v>272</v>
      </c>
      <c r="P87" t="s">
        <v>257</v>
      </c>
      <c r="Q87">
        <f t="shared" si="12"/>
        <v>91</v>
      </c>
    </row>
    <row r="88" spans="1:17">
      <c r="A88" s="54" t="str">
        <f>F51</f>
        <v>is3800-ExternalEventAck[5]</v>
      </c>
      <c r="B88" s="31" t="s">
        <v>11</v>
      </c>
      <c r="C88" s="31" t="str">
        <f>H51</f>
        <v>%I10.5</v>
      </c>
    </row>
    <row r="89" spans="1:17">
      <c r="A89" s="54" t="str">
        <f>F44</f>
        <v>is3800-ExternalEvent[6]</v>
      </c>
      <c r="B89" s="31" t="s">
        <v>11</v>
      </c>
      <c r="C89" s="31" t="str">
        <f>H44</f>
        <v>%Q3.6</v>
      </c>
    </row>
    <row r="90" spans="1:17">
      <c r="A90" s="54" t="str">
        <f>F52</f>
        <v>is3800-ExternalEventAck[6]</v>
      </c>
      <c r="B90" s="31" t="s">
        <v>11</v>
      </c>
      <c r="C90" s="31" t="str">
        <f>H52</f>
        <v>%I10.6</v>
      </c>
    </row>
    <row r="91" spans="1:17">
      <c r="A91" s="54" t="str">
        <f>F45</f>
        <v>is3800-ExternalEvent[7]</v>
      </c>
      <c r="B91" s="31" t="s">
        <v>11</v>
      </c>
      <c r="C91" s="31" t="str">
        <f>H45</f>
        <v>%Q3.7</v>
      </c>
    </row>
    <row r="92" spans="1:17">
      <c r="A92" s="54" t="str">
        <f>F53</f>
        <v>is3800-ExternalEventAck[7]</v>
      </c>
      <c r="B92" s="31" t="s">
        <v>11</v>
      </c>
      <c r="C92" s="31" t="str">
        <f>H53</f>
        <v>%I10.7</v>
      </c>
    </row>
    <row r="93" spans="1:17">
      <c r="A93" s="54" t="str">
        <f t="shared" ref="A93:A110" si="13">F70</f>
        <v>is3800-InspectionID</v>
      </c>
      <c r="B93" s="31" t="s">
        <v>87</v>
      </c>
      <c r="C93" s="31" t="str">
        <f t="shared" ref="C93:C110" si="14">H70</f>
        <v>%IW72</v>
      </c>
    </row>
    <row r="94" spans="1:17">
      <c r="A94" s="54" t="str">
        <f t="shared" si="13"/>
        <v>is3800-InspectionResultsCode</v>
      </c>
      <c r="B94" s="31" t="s">
        <v>22</v>
      </c>
      <c r="C94" s="31" t="str">
        <f t="shared" si="14"/>
        <v>%IW74</v>
      </c>
    </row>
    <row r="95" spans="1:17">
      <c r="A95" s="54" t="str">
        <f t="shared" si="13"/>
        <v>is3800-InspectionResults[0]</v>
      </c>
      <c r="B95" s="31" t="s">
        <v>235</v>
      </c>
      <c r="C95" s="31" t="str">
        <f t="shared" si="14"/>
        <v>%IB76</v>
      </c>
    </row>
    <row r="96" spans="1:17">
      <c r="A96" s="54" t="str">
        <f t="shared" si="13"/>
        <v>is3800-InspectionResults[1]</v>
      </c>
      <c r="B96" s="31" t="s">
        <v>235</v>
      </c>
      <c r="C96" s="31" t="str">
        <f t="shared" si="14"/>
        <v>%IB77</v>
      </c>
    </row>
    <row r="97" spans="1:3">
      <c r="A97" s="54" t="str">
        <f t="shared" si="13"/>
        <v>is3800-InspectionResults[2]</v>
      </c>
      <c r="B97" s="31" t="s">
        <v>235</v>
      </c>
      <c r="C97" s="31" t="str">
        <f t="shared" si="14"/>
        <v>%IB78</v>
      </c>
    </row>
    <row r="98" spans="1:3">
      <c r="A98" s="54" t="str">
        <f t="shared" si="13"/>
        <v>is3800-InspectionResults[3]</v>
      </c>
      <c r="B98" s="31" t="s">
        <v>235</v>
      </c>
      <c r="C98" s="31" t="str">
        <f t="shared" si="14"/>
        <v>%IB79</v>
      </c>
    </row>
    <row r="99" spans="1:3">
      <c r="A99" s="54" t="str">
        <f t="shared" si="13"/>
        <v>is3800-InspectionResults[4]</v>
      </c>
      <c r="B99" s="31" t="s">
        <v>235</v>
      </c>
      <c r="C99" s="31" t="str">
        <f t="shared" si="14"/>
        <v>%IB80</v>
      </c>
    </row>
    <row r="100" spans="1:3">
      <c r="A100" s="54" t="str">
        <f t="shared" si="13"/>
        <v>is3800-InspectionResults[5]</v>
      </c>
      <c r="B100" s="31" t="s">
        <v>235</v>
      </c>
      <c r="C100" s="31" t="str">
        <f t="shared" si="14"/>
        <v>%IB81</v>
      </c>
    </row>
    <row r="101" spans="1:3">
      <c r="A101" s="54" t="str">
        <f t="shared" si="13"/>
        <v>is3800-InspectionResults[6]</v>
      </c>
      <c r="B101" s="31" t="s">
        <v>235</v>
      </c>
      <c r="C101" s="31" t="str">
        <f t="shared" si="14"/>
        <v>%IB82</v>
      </c>
    </row>
    <row r="102" spans="1:3">
      <c r="A102" s="54" t="str">
        <f t="shared" si="13"/>
        <v>is3800-InspectionResults[7]</v>
      </c>
      <c r="B102" s="31" t="s">
        <v>235</v>
      </c>
      <c r="C102" s="31" t="str">
        <f t="shared" si="14"/>
        <v>%IB83</v>
      </c>
    </row>
    <row r="103" spans="1:3">
      <c r="A103" s="54" t="str">
        <f t="shared" si="13"/>
        <v>is3800-InspectionResults[8]</v>
      </c>
      <c r="B103" s="31" t="s">
        <v>235</v>
      </c>
      <c r="C103" s="31" t="str">
        <f t="shared" si="14"/>
        <v>%IB84</v>
      </c>
    </row>
    <row r="104" spans="1:3">
      <c r="A104" s="54" t="str">
        <f t="shared" si="13"/>
        <v>is3800-InspectionResults[9]</v>
      </c>
      <c r="B104" s="31" t="s">
        <v>235</v>
      </c>
      <c r="C104" s="31" t="str">
        <f t="shared" si="14"/>
        <v>%IB85</v>
      </c>
    </row>
    <row r="105" spans="1:3">
      <c r="A105" s="54" t="str">
        <f t="shared" si="13"/>
        <v>is3800-InspectionResults[10]</v>
      </c>
      <c r="B105" s="31" t="s">
        <v>235</v>
      </c>
      <c r="C105" s="31" t="str">
        <f t="shared" si="14"/>
        <v>%IB86</v>
      </c>
    </row>
    <row r="106" spans="1:3">
      <c r="A106" s="54" t="str">
        <f t="shared" si="13"/>
        <v>is3800-InspectionResults[11]</v>
      </c>
      <c r="B106" s="31" t="s">
        <v>235</v>
      </c>
      <c r="C106" s="31" t="str">
        <f t="shared" si="14"/>
        <v>%IB87</v>
      </c>
    </row>
    <row r="107" spans="1:3">
      <c r="A107" s="54" t="str">
        <f t="shared" si="13"/>
        <v>is3800-InspectionResults[12]</v>
      </c>
      <c r="B107" s="31" t="s">
        <v>235</v>
      </c>
      <c r="C107" s="31" t="str">
        <f t="shared" si="14"/>
        <v>%IB88</v>
      </c>
    </row>
    <row r="108" spans="1:3">
      <c r="A108" s="54" t="str">
        <f t="shared" si="13"/>
        <v>is3800-InspectionResults[13]</v>
      </c>
      <c r="B108" s="31" t="s">
        <v>235</v>
      </c>
      <c r="C108" s="31" t="str">
        <f t="shared" si="14"/>
        <v>%IB89</v>
      </c>
    </row>
    <row r="109" spans="1:3">
      <c r="A109" s="54" t="str">
        <f t="shared" si="13"/>
        <v>is3800-InspectionResults[14]</v>
      </c>
      <c r="B109" s="31" t="s">
        <v>235</v>
      </c>
      <c r="C109" s="31" t="str">
        <f t="shared" si="14"/>
        <v>%IB90</v>
      </c>
    </row>
    <row r="110" spans="1:3">
      <c r="A110" s="54" t="str">
        <f t="shared" si="13"/>
        <v>is3800-InspectionResults[15]</v>
      </c>
      <c r="B110" s="31" t="s">
        <v>235</v>
      </c>
      <c r="C110" s="31" t="str">
        <f t="shared" si="14"/>
        <v>%IB91</v>
      </c>
    </row>
  </sheetData>
  <mergeCells count="27">
    <mergeCell ref="A30:B30"/>
    <mergeCell ref="A25:B25"/>
    <mergeCell ref="A26:B26"/>
    <mergeCell ref="A27:B27"/>
    <mergeCell ref="A28:B28"/>
    <mergeCell ref="A29:B29"/>
    <mergeCell ref="A2:A3"/>
    <mergeCell ref="B2:B3"/>
    <mergeCell ref="E3:E4"/>
    <mergeCell ref="F3:H3"/>
    <mergeCell ref="N3:Q3"/>
    <mergeCell ref="E5:E8"/>
    <mergeCell ref="M5:M75"/>
    <mergeCell ref="E9:E17"/>
    <mergeCell ref="A17:B17"/>
    <mergeCell ref="A18:B18"/>
    <mergeCell ref="A19:B19"/>
    <mergeCell ref="A20:B20"/>
    <mergeCell ref="A21:B21"/>
    <mergeCell ref="A22:B22"/>
    <mergeCell ref="A23:B23"/>
    <mergeCell ref="E38:E45"/>
    <mergeCell ref="E46:E53"/>
    <mergeCell ref="E54:E69"/>
    <mergeCell ref="E70:E87"/>
    <mergeCell ref="E18:E22"/>
    <mergeCell ref="E23:E34"/>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A8937-171E-4D57-B2EB-7CCFE9D5FC46}">
  <sheetPr codeName="Sheet3"/>
  <dimension ref="A1:Q86"/>
  <sheetViews>
    <sheetView workbookViewId="0">
      <selection activeCell="C3" sqref="C3"/>
    </sheetView>
  </sheetViews>
  <sheetFormatPr defaultRowHeight="14.4"/>
  <cols>
    <col min="1" max="1" width="35" customWidth="1"/>
    <col min="2" max="2" width="21.44140625" customWidth="1"/>
    <col min="3" max="4" width="12.88671875" customWidth="1"/>
    <col min="5" max="5" width="30.6640625" customWidth="1"/>
    <col min="6" max="6" width="41.44140625" customWidth="1"/>
    <col min="7" max="8" width="10" customWidth="1"/>
    <col min="13" max="13" width="48.109375" customWidth="1"/>
    <col min="14" max="14" width="29.33203125" customWidth="1"/>
    <col min="15" max="15" width="27.33203125" customWidth="1"/>
  </cols>
  <sheetData>
    <row r="1" spans="1:17" ht="15" thickBot="1"/>
    <row r="2" spans="1:17" ht="15" thickBot="1">
      <c r="A2" s="123" t="s">
        <v>176</v>
      </c>
      <c r="B2" s="125" t="s">
        <v>522</v>
      </c>
    </row>
    <row r="3" spans="1:17" ht="15" thickBot="1">
      <c r="A3" s="124"/>
      <c r="B3" s="126"/>
      <c r="E3" s="127"/>
      <c r="F3" s="129" t="s">
        <v>2</v>
      </c>
      <c r="G3" s="130"/>
      <c r="H3" s="131"/>
      <c r="I3" s="1"/>
      <c r="N3" s="132" t="s">
        <v>3</v>
      </c>
      <c r="O3" s="132"/>
      <c r="P3" s="132"/>
      <c r="Q3" s="132"/>
    </row>
    <row r="4" spans="1:17" ht="15" thickBot="1">
      <c r="A4" s="11"/>
      <c r="B4" s="11"/>
      <c r="E4" s="128"/>
      <c r="F4" s="34" t="s">
        <v>4</v>
      </c>
      <c r="G4" s="31" t="s">
        <v>5</v>
      </c>
      <c r="H4" s="33" t="s">
        <v>6</v>
      </c>
      <c r="Q4" t="s">
        <v>7</v>
      </c>
    </row>
    <row r="5" spans="1:17" ht="16.2" thickBot="1">
      <c r="A5" s="7" t="s">
        <v>8</v>
      </c>
      <c r="B5" s="7" t="s">
        <v>9</v>
      </c>
      <c r="E5" s="133" t="s">
        <v>178</v>
      </c>
      <c r="F5" s="23" t="str">
        <f t="shared" ref="F5:F7" si="0">$B$2&amp;"-"&amp;O5</f>
        <v>is2000-TriggerEnable</v>
      </c>
      <c r="G5" s="10" t="s">
        <v>11</v>
      </c>
      <c r="H5" s="25" t="str">
        <f>P5&amp;$B$6&amp;"."&amp;Q5</f>
        <v>%Q10.0</v>
      </c>
      <c r="M5" s="136" t="s">
        <v>12</v>
      </c>
      <c r="N5" s="15" t="s">
        <v>178</v>
      </c>
      <c r="O5" t="s">
        <v>13</v>
      </c>
      <c r="P5" t="s">
        <v>14</v>
      </c>
      <c r="Q5" s="3">
        <v>0</v>
      </c>
    </row>
    <row r="6" spans="1:17">
      <c r="A6" s="8" t="s">
        <v>178</v>
      </c>
      <c r="B6" s="36">
        <v>10</v>
      </c>
      <c r="E6" s="134"/>
      <c r="F6" t="str">
        <f t="shared" si="0"/>
        <v>is2000-Trigger</v>
      </c>
      <c r="G6" s="11" t="s">
        <v>11</v>
      </c>
      <c r="H6" s="4" t="str">
        <f t="shared" ref="H6:H7" si="1">P6&amp;$B$6&amp;"."&amp;Q6</f>
        <v>%Q10.1</v>
      </c>
      <c r="M6" s="137"/>
      <c r="N6" s="15"/>
      <c r="O6" t="s">
        <v>179</v>
      </c>
      <c r="P6" t="s">
        <v>14</v>
      </c>
      <c r="Q6" s="3">
        <v>1</v>
      </c>
    </row>
    <row r="7" spans="1:17">
      <c r="A7" s="8" t="s">
        <v>180</v>
      </c>
      <c r="B7" s="37">
        <v>25</v>
      </c>
      <c r="E7" s="134"/>
      <c r="F7" t="str">
        <f t="shared" si="0"/>
        <v>is2000-ClearExposureComplete</v>
      </c>
      <c r="G7" s="11" t="s">
        <v>11</v>
      </c>
      <c r="H7" s="4" t="str">
        <f t="shared" si="1"/>
        <v>%Q10.2</v>
      </c>
      <c r="M7" s="137"/>
      <c r="O7" t="s">
        <v>181</v>
      </c>
      <c r="P7" t="s">
        <v>14</v>
      </c>
      <c r="Q7">
        <v>2</v>
      </c>
    </row>
    <row r="8" spans="1:17">
      <c r="A8" s="8" t="s">
        <v>182</v>
      </c>
      <c r="B8" s="37">
        <v>11</v>
      </c>
      <c r="E8" s="135"/>
      <c r="F8" s="19" t="str">
        <f t="shared" ref="F8:F39" si="2">$B$2&amp;"-"&amp;O8</f>
        <v>is2000-SetOffline</v>
      </c>
      <c r="G8" s="12" t="s">
        <v>11</v>
      </c>
      <c r="H8" s="20" t="str">
        <f>P8&amp;$B$6&amp;"."&amp;Q8</f>
        <v>%Q10.7</v>
      </c>
      <c r="M8" s="137"/>
      <c r="N8" s="15"/>
      <c r="O8" t="s">
        <v>273</v>
      </c>
      <c r="P8" t="s">
        <v>14</v>
      </c>
      <c r="Q8" s="3">
        <v>7</v>
      </c>
    </row>
    <row r="9" spans="1:17">
      <c r="A9" s="8" t="s">
        <v>184</v>
      </c>
      <c r="B9" s="37">
        <v>28</v>
      </c>
      <c r="E9" s="133" t="s">
        <v>180</v>
      </c>
      <c r="F9" s="23" t="str">
        <f t="shared" si="2"/>
        <v>is2000-TriggerReady</v>
      </c>
      <c r="G9" s="10" t="s">
        <v>11</v>
      </c>
      <c r="H9" s="25" t="str">
        <f t="shared" ref="H9:H16" si="3">P9&amp;$B$7&amp;"."&amp;Q9</f>
        <v>%I25.0</v>
      </c>
      <c r="M9" s="137"/>
      <c r="N9" s="87" t="s">
        <v>180</v>
      </c>
      <c r="O9" t="s">
        <v>185</v>
      </c>
      <c r="P9" t="s">
        <v>80</v>
      </c>
      <c r="Q9" s="3">
        <v>0</v>
      </c>
    </row>
    <row r="10" spans="1:17">
      <c r="A10" s="8" t="s">
        <v>274</v>
      </c>
      <c r="B10" s="37">
        <v>262</v>
      </c>
      <c r="E10" s="134"/>
      <c r="F10" t="str">
        <f t="shared" si="2"/>
        <v>is2000-TriggerAck</v>
      </c>
      <c r="G10" s="11" t="s">
        <v>11</v>
      </c>
      <c r="H10" s="4" t="str">
        <f t="shared" si="3"/>
        <v>%I25.1</v>
      </c>
      <c r="M10" s="137"/>
      <c r="N10" s="87"/>
      <c r="O10" t="s">
        <v>187</v>
      </c>
      <c r="P10" t="s">
        <v>80</v>
      </c>
      <c r="Q10" s="3">
        <v>1</v>
      </c>
    </row>
    <row r="11" spans="1:17">
      <c r="A11" s="8" t="s">
        <v>275</v>
      </c>
      <c r="B11" s="37">
        <v>278</v>
      </c>
      <c r="E11" s="134"/>
      <c r="F11" t="str">
        <f t="shared" si="2"/>
        <v>is2000-ExposureComplete</v>
      </c>
      <c r="G11" s="11" t="s">
        <v>11</v>
      </c>
      <c r="H11" s="4" t="str">
        <f t="shared" si="3"/>
        <v>%I25.2</v>
      </c>
      <c r="M11" s="137"/>
      <c r="N11" s="87"/>
      <c r="O11" t="s">
        <v>189</v>
      </c>
      <c r="P11" t="s">
        <v>80</v>
      </c>
      <c r="Q11" s="3">
        <v>2</v>
      </c>
    </row>
    <row r="12" spans="1:17">
      <c r="A12" s="8" t="s">
        <v>276</v>
      </c>
      <c r="B12" s="37">
        <v>12</v>
      </c>
      <c r="E12" s="134"/>
      <c r="F12" t="str">
        <f t="shared" si="2"/>
        <v>is2000-MissedAcq</v>
      </c>
      <c r="G12" s="11" t="s">
        <v>11</v>
      </c>
      <c r="H12" s="4" t="str">
        <f t="shared" si="3"/>
        <v>%I25.3</v>
      </c>
      <c r="M12" s="137"/>
      <c r="N12" s="87"/>
      <c r="O12" t="s">
        <v>277</v>
      </c>
      <c r="P12" t="s">
        <v>80</v>
      </c>
      <c r="Q12" s="3">
        <v>3</v>
      </c>
    </row>
    <row r="13" spans="1:17">
      <c r="A13" s="8" t="s">
        <v>278</v>
      </c>
      <c r="B13" s="37">
        <v>32</v>
      </c>
      <c r="E13" s="134"/>
      <c r="F13" t="str">
        <f t="shared" si="2"/>
        <v>is2000-OfflineReason(0)</v>
      </c>
      <c r="G13" s="11" t="s">
        <v>11</v>
      </c>
      <c r="H13" s="4" t="str">
        <f t="shared" si="3"/>
        <v>%I25.4</v>
      </c>
      <c r="M13" s="137"/>
      <c r="N13" s="87"/>
      <c r="O13" t="s">
        <v>279</v>
      </c>
      <c r="P13" t="s">
        <v>80</v>
      </c>
      <c r="Q13" s="3">
        <v>4</v>
      </c>
    </row>
    <row r="14" spans="1:17">
      <c r="A14" s="8" t="s">
        <v>194</v>
      </c>
      <c r="B14" s="37">
        <v>264</v>
      </c>
      <c r="E14" s="134"/>
      <c r="F14" t="str">
        <f t="shared" si="2"/>
        <v>is2000-OfflineReason(1)</v>
      </c>
      <c r="G14" s="11" t="s">
        <v>11</v>
      </c>
      <c r="H14" s="4" t="str">
        <f t="shared" si="3"/>
        <v>%I25.5</v>
      </c>
      <c r="M14" s="137"/>
      <c r="N14" s="87"/>
      <c r="O14" t="s">
        <v>280</v>
      </c>
      <c r="P14" t="s">
        <v>80</v>
      </c>
      <c r="Q14" s="3">
        <v>5</v>
      </c>
    </row>
    <row r="15" spans="1:17" ht="15" thickBot="1">
      <c r="A15" s="9" t="s">
        <v>195</v>
      </c>
      <c r="B15" s="38">
        <v>210</v>
      </c>
      <c r="E15" s="134"/>
      <c r="F15" t="str">
        <f t="shared" si="2"/>
        <v>is2000-OfflineReason(2)</v>
      </c>
      <c r="G15" s="11" t="s">
        <v>11</v>
      </c>
      <c r="H15" s="4" t="str">
        <f t="shared" si="3"/>
        <v>%I25.6</v>
      </c>
      <c r="M15" s="137"/>
      <c r="N15" s="87"/>
      <c r="O15" t="s">
        <v>281</v>
      </c>
      <c r="P15" t="s">
        <v>80</v>
      </c>
      <c r="Q15" s="3">
        <v>6</v>
      </c>
    </row>
    <row r="16" spans="1:17" ht="15" thickBot="1">
      <c r="E16" s="134"/>
      <c r="F16" t="str">
        <f t="shared" si="2"/>
        <v>is2000-Online</v>
      </c>
      <c r="G16" s="11" t="s">
        <v>11</v>
      </c>
      <c r="H16" s="4" t="str">
        <f t="shared" si="3"/>
        <v>%I25.7</v>
      </c>
      <c r="M16" s="137"/>
      <c r="N16" s="87"/>
      <c r="O16" t="s">
        <v>161</v>
      </c>
      <c r="P16" t="s">
        <v>80</v>
      </c>
      <c r="Q16" s="3">
        <v>7</v>
      </c>
    </row>
    <row r="17" spans="1:17">
      <c r="A17" s="138" t="s">
        <v>40</v>
      </c>
      <c r="B17" s="139"/>
      <c r="E17" s="135"/>
      <c r="F17" s="19" t="str">
        <f t="shared" si="2"/>
        <v>is2000-AcquisitionID</v>
      </c>
      <c r="G17" s="12" t="s">
        <v>22</v>
      </c>
      <c r="H17" s="20" t="str">
        <f>P17&amp;Q17</f>
        <v>%IW26</v>
      </c>
      <c r="M17" s="137"/>
      <c r="N17" s="87"/>
      <c r="O17" t="s">
        <v>196</v>
      </c>
      <c r="P17" t="s">
        <v>89</v>
      </c>
      <c r="Q17" s="3">
        <f>SUM(B7+1)</f>
        <v>26</v>
      </c>
    </row>
    <row r="18" spans="1:17">
      <c r="A18" s="140" t="s">
        <v>42</v>
      </c>
      <c r="B18" s="141"/>
      <c r="E18" s="133" t="s">
        <v>182</v>
      </c>
      <c r="F18" s="23" t="str">
        <f t="shared" si="2"/>
        <v>is2000-BufferResultsEnable</v>
      </c>
      <c r="G18" s="10" t="s">
        <v>11</v>
      </c>
      <c r="H18" s="25" t="str">
        <f>P18&amp;$B$8&amp;"."&amp;Q18</f>
        <v>%Q11.0</v>
      </c>
      <c r="M18" s="137"/>
      <c r="N18" s="87" t="s">
        <v>182</v>
      </c>
      <c r="O18" t="s">
        <v>16</v>
      </c>
      <c r="P18" t="s">
        <v>14</v>
      </c>
      <c r="Q18" s="3">
        <v>0</v>
      </c>
    </row>
    <row r="19" spans="1:17">
      <c r="A19" s="140" t="s">
        <v>197</v>
      </c>
      <c r="B19" s="141"/>
      <c r="E19" s="134"/>
      <c r="F19" t="str">
        <f t="shared" si="2"/>
        <v>is2000-InspectionResultsAck</v>
      </c>
      <c r="G19" s="11" t="s">
        <v>11</v>
      </c>
      <c r="H19" s="4" t="str">
        <f>P19&amp;$B$8&amp;"."&amp;Q19</f>
        <v>%Q11.1</v>
      </c>
      <c r="M19" s="137"/>
      <c r="N19" s="87"/>
      <c r="O19" t="s">
        <v>198</v>
      </c>
      <c r="P19" t="s">
        <v>14</v>
      </c>
      <c r="Q19" s="3">
        <v>1</v>
      </c>
    </row>
    <row r="20" spans="1:17">
      <c r="A20" s="140" t="s">
        <v>199</v>
      </c>
      <c r="B20" s="141"/>
      <c r="E20" s="134"/>
      <c r="F20" t="str">
        <f t="shared" si="2"/>
        <v>is2000-SetUserData</v>
      </c>
      <c r="G20" s="11" t="s">
        <v>11</v>
      </c>
      <c r="H20" s="4" t="str">
        <f>P20&amp;$B$8&amp;"."&amp;Q20</f>
        <v>%Q11.2</v>
      </c>
      <c r="M20" s="137"/>
      <c r="N20" s="87"/>
      <c r="O20" t="s">
        <v>200</v>
      </c>
      <c r="P20" t="s">
        <v>14</v>
      </c>
      <c r="Q20" s="3">
        <v>2</v>
      </c>
    </row>
    <row r="21" spans="1:17">
      <c r="A21" s="140" t="s">
        <v>49</v>
      </c>
      <c r="B21" s="141"/>
      <c r="E21" s="134"/>
      <c r="F21" t="str">
        <f t="shared" si="2"/>
        <v>is2000-ExecuteCommand/JobLoad</v>
      </c>
      <c r="G21" s="11" t="s">
        <v>11</v>
      </c>
      <c r="H21" s="4" t="str">
        <f>P21&amp;$B$8&amp;"."&amp;Q21</f>
        <v>%Q11.3</v>
      </c>
      <c r="M21" s="137"/>
      <c r="N21" s="87"/>
      <c r="O21" t="s">
        <v>201</v>
      </c>
      <c r="P21" t="s">
        <v>14</v>
      </c>
      <c r="Q21" s="3">
        <v>3</v>
      </c>
    </row>
    <row r="22" spans="1:17">
      <c r="A22" s="140" t="s">
        <v>51</v>
      </c>
      <c r="B22" s="141"/>
      <c r="E22" s="135"/>
      <c r="F22" s="19" t="str">
        <f t="shared" si="2"/>
        <v>is2000-ClearError</v>
      </c>
      <c r="G22" s="12" t="s">
        <v>11</v>
      </c>
      <c r="H22" s="20" t="str">
        <f>P22&amp;$B$8&amp;"."&amp;Q22</f>
        <v>%Q11.7</v>
      </c>
      <c r="M22" s="137"/>
      <c r="O22" t="s">
        <v>20</v>
      </c>
      <c r="P22" t="s">
        <v>14</v>
      </c>
      <c r="Q22" s="3">
        <v>7</v>
      </c>
    </row>
    <row r="23" spans="1:17" ht="15" thickBot="1">
      <c r="A23" s="142" t="s">
        <v>53</v>
      </c>
      <c r="B23" s="143"/>
      <c r="E23" s="133" t="s">
        <v>184</v>
      </c>
      <c r="F23" s="23" t="str">
        <f t="shared" si="2"/>
        <v>is2000-SystemBusy</v>
      </c>
      <c r="G23" s="10" t="s">
        <v>11</v>
      </c>
      <c r="H23" s="25" t="str">
        <f t="shared" ref="H23:H30" si="4">P23&amp;$B$9&amp;"."&amp;Q23</f>
        <v>%I28.0</v>
      </c>
      <c r="M23" s="137"/>
      <c r="N23" s="87" t="s">
        <v>184</v>
      </c>
      <c r="O23" t="s">
        <v>282</v>
      </c>
      <c r="P23" t="s">
        <v>80</v>
      </c>
      <c r="Q23" s="3">
        <v>0</v>
      </c>
    </row>
    <row r="24" spans="1:17">
      <c r="E24" s="134"/>
      <c r="F24" t="str">
        <f t="shared" si="2"/>
        <v>is2000-InspectionCompleted</v>
      </c>
      <c r="G24" s="11" t="s">
        <v>11</v>
      </c>
      <c r="H24" s="4" t="str">
        <f t="shared" si="4"/>
        <v>%I28.1</v>
      </c>
      <c r="M24" s="137"/>
      <c r="N24" s="87"/>
      <c r="O24" t="s">
        <v>203</v>
      </c>
      <c r="P24" t="s">
        <v>80</v>
      </c>
      <c r="Q24" s="3">
        <v>1</v>
      </c>
    </row>
    <row r="25" spans="1:17">
      <c r="E25" s="134"/>
      <c r="F25" t="str">
        <f t="shared" si="2"/>
        <v>is2000-ResultsBufferOverrun</v>
      </c>
      <c r="G25" s="11" t="s">
        <v>11</v>
      </c>
      <c r="H25" s="4" t="str">
        <f t="shared" si="4"/>
        <v>%I28.2</v>
      </c>
      <c r="M25" s="137"/>
      <c r="N25" s="87"/>
      <c r="O25" t="s">
        <v>204</v>
      </c>
      <c r="P25" t="s">
        <v>80</v>
      </c>
      <c r="Q25" s="3">
        <v>2</v>
      </c>
    </row>
    <row r="26" spans="1:17">
      <c r="E26" s="134"/>
      <c r="F26" t="str">
        <f t="shared" si="2"/>
        <v>is2000-ResultsValid</v>
      </c>
      <c r="G26" s="11" t="s">
        <v>11</v>
      </c>
      <c r="H26" s="4" t="str">
        <f t="shared" si="4"/>
        <v>%I28.3</v>
      </c>
      <c r="M26" s="137"/>
      <c r="N26" s="87"/>
      <c r="O26" t="s">
        <v>205</v>
      </c>
      <c r="P26" t="s">
        <v>80</v>
      </c>
      <c r="Q26" s="3">
        <v>3</v>
      </c>
    </row>
    <row r="27" spans="1:17">
      <c r="E27" s="134"/>
      <c r="F27" t="str">
        <f t="shared" si="2"/>
        <v>is2000-CommandExecuting</v>
      </c>
      <c r="G27" s="11" t="s">
        <v>11</v>
      </c>
      <c r="H27" s="4" t="str">
        <f t="shared" si="4"/>
        <v>%I28.4</v>
      </c>
      <c r="M27" s="137"/>
      <c r="N27" s="87"/>
      <c r="O27" t="s">
        <v>206</v>
      </c>
      <c r="P27" t="s">
        <v>80</v>
      </c>
      <c r="Q27" s="3">
        <v>4</v>
      </c>
    </row>
    <row r="28" spans="1:17">
      <c r="E28" s="134"/>
      <c r="F28" t="str">
        <f t="shared" si="2"/>
        <v>is2000-CommandCompleted</v>
      </c>
      <c r="G28" s="11" t="s">
        <v>11</v>
      </c>
      <c r="H28" s="4" t="str">
        <f t="shared" si="4"/>
        <v>%I28.5</v>
      </c>
      <c r="M28" s="137"/>
      <c r="N28" s="87"/>
      <c r="O28" t="s">
        <v>207</v>
      </c>
      <c r="P28" t="s">
        <v>80</v>
      </c>
      <c r="Q28" s="3">
        <v>5</v>
      </c>
    </row>
    <row r="29" spans="1:17">
      <c r="E29" s="134"/>
      <c r="F29" t="str">
        <f t="shared" si="2"/>
        <v>is2000-CommandFailed</v>
      </c>
      <c r="G29" s="11" t="s">
        <v>11</v>
      </c>
      <c r="H29" s="4" t="str">
        <f t="shared" si="4"/>
        <v>%I28.6</v>
      </c>
      <c r="M29" s="137"/>
      <c r="N29" s="87"/>
      <c r="O29" t="s">
        <v>208</v>
      </c>
      <c r="P29" t="s">
        <v>80</v>
      </c>
      <c r="Q29" s="3">
        <v>6</v>
      </c>
    </row>
    <row r="30" spans="1:17">
      <c r="E30" s="134"/>
      <c r="F30" t="str">
        <f t="shared" si="2"/>
        <v>is2000-SetUserDataAck</v>
      </c>
      <c r="G30" s="11" t="s">
        <v>11</v>
      </c>
      <c r="H30" s="4" t="str">
        <f t="shared" si="4"/>
        <v>%I28.7</v>
      </c>
      <c r="M30" s="137"/>
      <c r="N30" s="87"/>
      <c r="O30" t="s">
        <v>209</v>
      </c>
      <c r="P30" t="s">
        <v>80</v>
      </c>
      <c r="Q30" s="3">
        <v>7</v>
      </c>
    </row>
    <row r="31" spans="1:17">
      <c r="E31" s="134"/>
      <c r="F31" t="str">
        <f t="shared" si="2"/>
        <v>is2000-JobPass</v>
      </c>
      <c r="G31" s="11" t="s">
        <v>11</v>
      </c>
      <c r="H31" s="4" t="str">
        <f>P31&amp;SUM($B$9+1)&amp;"."&amp;Q31</f>
        <v>%I29.0</v>
      </c>
      <c r="M31" s="137"/>
      <c r="N31" s="87"/>
      <c r="O31" t="s">
        <v>283</v>
      </c>
      <c r="P31" t="s">
        <v>80</v>
      </c>
      <c r="Q31" s="3">
        <v>0</v>
      </c>
    </row>
    <row r="32" spans="1:17">
      <c r="E32" s="134"/>
      <c r="F32" t="str">
        <f t="shared" si="2"/>
        <v>is2000-TestRunReady</v>
      </c>
      <c r="G32" s="11" t="s">
        <v>11</v>
      </c>
      <c r="H32" s="4" t="str">
        <f>P32&amp;SUM($B$9+1)&amp;"."&amp;Q32</f>
        <v>%I29.1</v>
      </c>
      <c r="M32" s="137"/>
      <c r="N32" s="87"/>
      <c r="O32" t="s">
        <v>284</v>
      </c>
      <c r="P32" t="s">
        <v>80</v>
      </c>
      <c r="Q32" s="3">
        <v>1</v>
      </c>
    </row>
    <row r="33" spans="5:17">
      <c r="E33" s="134"/>
      <c r="F33" t="str">
        <f t="shared" si="2"/>
        <v>is2000-Error</v>
      </c>
      <c r="G33" s="11" t="s">
        <v>11</v>
      </c>
      <c r="H33" s="4" t="str">
        <f t="shared" ref="H33" si="5">P33&amp;SUM($B$9+1)&amp;"."&amp;Q33</f>
        <v>%I29.7</v>
      </c>
      <c r="M33" s="137"/>
      <c r="O33" t="s">
        <v>86</v>
      </c>
      <c r="P33" t="s">
        <v>80</v>
      </c>
      <c r="Q33" s="3">
        <v>7</v>
      </c>
    </row>
    <row r="34" spans="5:17">
      <c r="E34" s="135"/>
      <c r="F34" s="19" t="str">
        <f t="shared" si="2"/>
        <v>is2000-ErrorCode</v>
      </c>
      <c r="G34" s="12" t="s">
        <v>87</v>
      </c>
      <c r="H34" s="20" t="str">
        <f>P34&amp;SUM($B$9+2)</f>
        <v>%IW30</v>
      </c>
      <c r="M34" s="137"/>
      <c r="O34" t="s">
        <v>211</v>
      </c>
      <c r="P34" t="s">
        <v>89</v>
      </c>
    </row>
    <row r="35" spans="5:17">
      <c r="E35" s="35" t="s">
        <v>212</v>
      </c>
      <c r="F35" s="32" t="str">
        <f t="shared" si="2"/>
        <v>is2000-CommandInput</v>
      </c>
      <c r="G35" s="27" t="s">
        <v>87</v>
      </c>
      <c r="H35" s="28" t="str">
        <f>P35&amp;$B$10</f>
        <v>%QW262</v>
      </c>
      <c r="M35" s="137"/>
      <c r="N35" s="87" t="s">
        <v>212</v>
      </c>
      <c r="O35" t="s">
        <v>285</v>
      </c>
      <c r="P35" t="s">
        <v>24</v>
      </c>
    </row>
    <row r="36" spans="5:17">
      <c r="E36" s="35" t="s">
        <v>214</v>
      </c>
      <c r="F36" s="32" t="str">
        <f t="shared" si="2"/>
        <v>is2000-CommandOutput</v>
      </c>
      <c r="G36" s="27" t="s">
        <v>87</v>
      </c>
      <c r="H36" s="28" t="str">
        <f>P36&amp;$B$11</f>
        <v>%IW278</v>
      </c>
      <c r="M36" s="137"/>
      <c r="N36" s="87" t="s">
        <v>214</v>
      </c>
      <c r="O36" t="s">
        <v>286</v>
      </c>
      <c r="P36" t="s">
        <v>89</v>
      </c>
    </row>
    <row r="37" spans="5:17">
      <c r="E37" s="133" t="s">
        <v>216</v>
      </c>
      <c r="F37" s="23" t="str">
        <f t="shared" si="2"/>
        <v>is2000-SoftEvent[0]</v>
      </c>
      <c r="G37" s="10" t="s">
        <v>11</v>
      </c>
      <c r="H37" s="25" t="str">
        <f t="shared" ref="H37:H44" si="6">P37&amp;$B$12&amp;"."&amp;Q37</f>
        <v>%Q12.0</v>
      </c>
      <c r="M37" s="137"/>
      <c r="N37" s="87" t="s">
        <v>216</v>
      </c>
      <c r="O37" t="s">
        <v>26</v>
      </c>
      <c r="P37" t="s">
        <v>14</v>
      </c>
      <c r="Q37" s="3">
        <v>0</v>
      </c>
    </row>
    <row r="38" spans="5:17">
      <c r="E38" s="134"/>
      <c r="F38" t="str">
        <f t="shared" si="2"/>
        <v>is2000-SoftEvent[1]</v>
      </c>
      <c r="G38" s="11" t="s">
        <v>11</v>
      </c>
      <c r="H38" s="4" t="str">
        <f t="shared" si="6"/>
        <v>%Q12.1</v>
      </c>
      <c r="M38" s="137"/>
      <c r="N38" s="87"/>
      <c r="O38" t="s">
        <v>28</v>
      </c>
      <c r="P38" t="s">
        <v>14</v>
      </c>
      <c r="Q38" s="3">
        <v>1</v>
      </c>
    </row>
    <row r="39" spans="5:17">
      <c r="E39" s="134"/>
      <c r="F39" t="str">
        <f t="shared" si="2"/>
        <v>is2000-SoftEvent[2]</v>
      </c>
      <c r="G39" s="11" t="s">
        <v>11</v>
      </c>
      <c r="H39" s="4" t="str">
        <f t="shared" si="6"/>
        <v>%Q12.2</v>
      </c>
      <c r="M39" s="137"/>
      <c r="N39" s="87"/>
      <c r="O39" t="s">
        <v>30</v>
      </c>
      <c r="P39" t="s">
        <v>14</v>
      </c>
      <c r="Q39" s="3">
        <v>2</v>
      </c>
    </row>
    <row r="40" spans="5:17">
      <c r="E40" s="134"/>
      <c r="F40" t="str">
        <f t="shared" ref="F40:F71" si="7">$B$2&amp;"-"&amp;O40</f>
        <v>is2000-SoftEvent[3]</v>
      </c>
      <c r="G40" s="11" t="s">
        <v>11</v>
      </c>
      <c r="H40" s="4" t="str">
        <f t="shared" si="6"/>
        <v>%Q12.3</v>
      </c>
      <c r="M40" s="137"/>
      <c r="N40" s="87"/>
      <c r="O40" t="s">
        <v>32</v>
      </c>
      <c r="P40" t="s">
        <v>14</v>
      </c>
      <c r="Q40" s="3">
        <v>3</v>
      </c>
    </row>
    <row r="41" spans="5:17">
      <c r="E41" s="134"/>
      <c r="F41" t="str">
        <f t="shared" si="7"/>
        <v>is2000-SoftEvent[4]</v>
      </c>
      <c r="G41" s="11" t="s">
        <v>11</v>
      </c>
      <c r="H41" s="4" t="str">
        <f t="shared" si="6"/>
        <v>%Q12.4</v>
      </c>
      <c r="M41" s="137"/>
      <c r="N41" s="87"/>
      <c r="O41" t="s">
        <v>34</v>
      </c>
      <c r="P41" t="s">
        <v>14</v>
      </c>
      <c r="Q41" s="3">
        <v>4</v>
      </c>
    </row>
    <row r="42" spans="5:17">
      <c r="E42" s="134"/>
      <c r="F42" t="str">
        <f t="shared" si="7"/>
        <v>is2000-SoftEvent[5]</v>
      </c>
      <c r="G42" s="11" t="s">
        <v>11</v>
      </c>
      <c r="H42" s="4" t="str">
        <f t="shared" si="6"/>
        <v>%Q12.5</v>
      </c>
      <c r="M42" s="137"/>
      <c r="N42" s="87"/>
      <c r="O42" t="s">
        <v>36</v>
      </c>
      <c r="P42" t="s">
        <v>14</v>
      </c>
      <c r="Q42" s="3">
        <v>5</v>
      </c>
    </row>
    <row r="43" spans="5:17">
      <c r="E43" s="134"/>
      <c r="F43" t="str">
        <f t="shared" si="7"/>
        <v>is2000-SoftEvent[6]</v>
      </c>
      <c r="G43" s="11" t="s">
        <v>11</v>
      </c>
      <c r="H43" s="4" t="str">
        <f t="shared" si="6"/>
        <v>%Q12.6</v>
      </c>
      <c r="M43" s="137"/>
      <c r="N43" s="87"/>
      <c r="O43" t="s">
        <v>38</v>
      </c>
      <c r="P43" t="s">
        <v>14</v>
      </c>
      <c r="Q43" s="3">
        <v>6</v>
      </c>
    </row>
    <row r="44" spans="5:17">
      <c r="E44" s="135"/>
      <c r="F44" s="19" t="str">
        <f t="shared" si="7"/>
        <v>is2000-SoftEvent[7]</v>
      </c>
      <c r="G44" s="12" t="s">
        <v>11</v>
      </c>
      <c r="H44" s="20" t="str">
        <f t="shared" si="6"/>
        <v>%Q12.7</v>
      </c>
      <c r="M44" s="137"/>
      <c r="N44" s="87"/>
      <c r="O44" t="s">
        <v>39</v>
      </c>
      <c r="P44" t="s">
        <v>14</v>
      </c>
      <c r="Q44" s="3">
        <v>7</v>
      </c>
    </row>
    <row r="45" spans="5:17">
      <c r="E45" s="133" t="s">
        <v>226</v>
      </c>
      <c r="F45" s="23" t="str">
        <f t="shared" si="7"/>
        <v>is2000-SoftEventAck[0]</v>
      </c>
      <c r="G45" s="10" t="s">
        <v>11</v>
      </c>
      <c r="H45" s="25" t="str">
        <f t="shared" ref="H45:H52" si="8">P45&amp;$B$13&amp;"."&amp;Q45</f>
        <v>%I32.0</v>
      </c>
      <c r="M45" s="137"/>
      <c r="N45" s="11" t="s">
        <v>226</v>
      </c>
      <c r="O45" t="s">
        <v>287</v>
      </c>
      <c r="P45" t="s">
        <v>80</v>
      </c>
      <c r="Q45" s="3">
        <v>0</v>
      </c>
    </row>
    <row r="46" spans="5:17">
      <c r="E46" s="134"/>
      <c r="F46" t="str">
        <f t="shared" si="7"/>
        <v>is2000-SoftEventAck[1]</v>
      </c>
      <c r="G46" s="11" t="s">
        <v>11</v>
      </c>
      <c r="H46" s="4" t="str">
        <f t="shared" si="8"/>
        <v>%I32.1</v>
      </c>
      <c r="M46" s="137"/>
      <c r="N46" s="11"/>
      <c r="O46" t="s">
        <v>288</v>
      </c>
      <c r="P46" t="s">
        <v>80</v>
      </c>
      <c r="Q46" s="3">
        <v>1</v>
      </c>
    </row>
    <row r="47" spans="5:17">
      <c r="E47" s="134"/>
      <c r="F47" t="str">
        <f t="shared" si="7"/>
        <v>is2000-SoftEventAck[2]</v>
      </c>
      <c r="G47" s="11" t="s">
        <v>11</v>
      </c>
      <c r="H47" s="4" t="str">
        <f t="shared" si="8"/>
        <v>%I32.2</v>
      </c>
      <c r="M47" s="137"/>
      <c r="N47" s="11"/>
      <c r="O47" t="s">
        <v>289</v>
      </c>
      <c r="P47" t="s">
        <v>80</v>
      </c>
      <c r="Q47" s="3">
        <v>2</v>
      </c>
    </row>
    <row r="48" spans="5:17">
      <c r="E48" s="134"/>
      <c r="F48" t="str">
        <f t="shared" si="7"/>
        <v>is2000-SoftEventAck[3]</v>
      </c>
      <c r="G48" s="11" t="s">
        <v>11</v>
      </c>
      <c r="H48" s="4" t="str">
        <f t="shared" si="8"/>
        <v>%I32.3</v>
      </c>
      <c r="M48" s="137"/>
      <c r="N48" s="11"/>
      <c r="O48" t="s">
        <v>290</v>
      </c>
      <c r="P48" t="s">
        <v>80</v>
      </c>
      <c r="Q48" s="3">
        <v>3</v>
      </c>
    </row>
    <row r="49" spans="5:17">
      <c r="E49" s="134"/>
      <c r="F49" t="str">
        <f t="shared" si="7"/>
        <v>is2000-SoftEventAck[4]</v>
      </c>
      <c r="G49" s="11" t="s">
        <v>11</v>
      </c>
      <c r="H49" s="4" t="str">
        <f t="shared" si="8"/>
        <v>%I32.4</v>
      </c>
      <c r="M49" s="137"/>
      <c r="N49" s="11"/>
      <c r="O49" t="s">
        <v>291</v>
      </c>
      <c r="P49" t="s">
        <v>80</v>
      </c>
      <c r="Q49" s="3">
        <v>4</v>
      </c>
    </row>
    <row r="50" spans="5:17">
      <c r="E50" s="134"/>
      <c r="F50" t="str">
        <f t="shared" si="7"/>
        <v>is2000-SoftEventAck[5]</v>
      </c>
      <c r="G50" s="11" t="s">
        <v>11</v>
      </c>
      <c r="H50" s="4" t="str">
        <f t="shared" si="8"/>
        <v>%I32.5</v>
      </c>
      <c r="M50" s="137"/>
      <c r="N50" s="11"/>
      <c r="O50" t="s">
        <v>292</v>
      </c>
      <c r="P50" t="s">
        <v>80</v>
      </c>
      <c r="Q50" s="3">
        <v>5</v>
      </c>
    </row>
    <row r="51" spans="5:17">
      <c r="E51" s="134"/>
      <c r="F51" t="str">
        <f t="shared" si="7"/>
        <v>is2000-SoftEventAck[6]</v>
      </c>
      <c r="G51" s="11" t="s">
        <v>11</v>
      </c>
      <c r="H51" s="4" t="str">
        <f t="shared" si="8"/>
        <v>%I32.6</v>
      </c>
      <c r="M51" s="137"/>
      <c r="N51" s="11"/>
      <c r="O51" t="s">
        <v>293</v>
      </c>
      <c r="P51" t="s">
        <v>80</v>
      </c>
      <c r="Q51" s="3">
        <v>6</v>
      </c>
    </row>
    <row r="52" spans="5:17">
      <c r="E52" s="135"/>
      <c r="F52" s="19" t="str">
        <f t="shared" si="7"/>
        <v>is2000-SoftEventAck[7]</v>
      </c>
      <c r="G52" s="12" t="s">
        <v>11</v>
      </c>
      <c r="H52" s="20" t="str">
        <f t="shared" si="8"/>
        <v>%I32.7</v>
      </c>
      <c r="M52" s="137"/>
      <c r="N52" s="11"/>
      <c r="O52" t="s">
        <v>294</v>
      </c>
      <c r="P52" t="s">
        <v>80</v>
      </c>
      <c r="Q52" s="3">
        <v>7</v>
      </c>
    </row>
    <row r="53" spans="5:17">
      <c r="E53" s="133" t="s">
        <v>194</v>
      </c>
      <c r="F53" s="23" t="str">
        <f t="shared" si="7"/>
        <v>is2000-UserData[0]</v>
      </c>
      <c r="G53" s="10" t="s">
        <v>235</v>
      </c>
      <c r="H53" s="25" t="str">
        <f t="shared" ref="H53:H86" si="9">P53&amp;Q53</f>
        <v>%QB264</v>
      </c>
      <c r="M53" s="137"/>
      <c r="N53" s="87" t="s">
        <v>194</v>
      </c>
      <c r="O53" t="s">
        <v>237</v>
      </c>
      <c r="P53" t="s">
        <v>238</v>
      </c>
      <c r="Q53">
        <f>$B$14</f>
        <v>264</v>
      </c>
    </row>
    <row r="54" spans="5:17">
      <c r="E54" s="134"/>
      <c r="F54" t="str">
        <f t="shared" si="7"/>
        <v>is2000-UserData[1]</v>
      </c>
      <c r="G54" s="11" t="s">
        <v>235</v>
      </c>
      <c r="H54" s="4" t="str">
        <f t="shared" si="9"/>
        <v>%QB265</v>
      </c>
      <c r="M54" s="137"/>
      <c r="N54" s="11"/>
      <c r="O54" t="s">
        <v>239</v>
      </c>
      <c r="P54" t="s">
        <v>238</v>
      </c>
      <c r="Q54">
        <f>SUM(Q53+1)</f>
        <v>265</v>
      </c>
    </row>
    <row r="55" spans="5:17">
      <c r="E55" s="134"/>
      <c r="F55" t="str">
        <f t="shared" si="7"/>
        <v>is2000-UserData[2]</v>
      </c>
      <c r="G55" s="11" t="s">
        <v>235</v>
      </c>
      <c r="H55" s="4" t="str">
        <f t="shared" si="9"/>
        <v>%QB266</v>
      </c>
      <c r="M55" s="137"/>
      <c r="N55" s="11"/>
      <c r="O55" t="s">
        <v>240</v>
      </c>
      <c r="P55" t="s">
        <v>238</v>
      </c>
      <c r="Q55">
        <f t="shared" ref="Q55:Q68" si="10">SUM(Q54+1)</f>
        <v>266</v>
      </c>
    </row>
    <row r="56" spans="5:17">
      <c r="E56" s="134"/>
      <c r="F56" t="str">
        <f t="shared" si="7"/>
        <v>is2000-UserData[3]</v>
      </c>
      <c r="G56" s="11" t="s">
        <v>235</v>
      </c>
      <c r="H56" s="4" t="str">
        <f t="shared" si="9"/>
        <v>%QB267</v>
      </c>
      <c r="M56" s="137"/>
      <c r="N56" s="11"/>
      <c r="O56" t="s">
        <v>241</v>
      </c>
      <c r="P56" t="s">
        <v>238</v>
      </c>
      <c r="Q56">
        <f t="shared" si="10"/>
        <v>267</v>
      </c>
    </row>
    <row r="57" spans="5:17">
      <c r="E57" s="134"/>
      <c r="F57" t="str">
        <f t="shared" si="7"/>
        <v>is2000-UserData[4]</v>
      </c>
      <c r="G57" s="11" t="s">
        <v>235</v>
      </c>
      <c r="H57" s="4" t="str">
        <f t="shared" si="9"/>
        <v>%QB268</v>
      </c>
      <c r="M57" s="137"/>
      <c r="N57" s="11"/>
      <c r="O57" t="s">
        <v>242</v>
      </c>
      <c r="P57" t="s">
        <v>238</v>
      </c>
      <c r="Q57">
        <f t="shared" si="10"/>
        <v>268</v>
      </c>
    </row>
    <row r="58" spans="5:17">
      <c r="E58" s="134"/>
      <c r="F58" t="str">
        <f t="shared" si="7"/>
        <v>is2000-UserData[5]</v>
      </c>
      <c r="G58" s="11" t="s">
        <v>235</v>
      </c>
      <c r="H58" s="4" t="str">
        <f t="shared" si="9"/>
        <v>%QB269</v>
      </c>
      <c r="M58" s="137"/>
      <c r="N58" s="11"/>
      <c r="O58" t="s">
        <v>243</v>
      </c>
      <c r="P58" t="s">
        <v>238</v>
      </c>
      <c r="Q58">
        <f t="shared" si="10"/>
        <v>269</v>
      </c>
    </row>
    <row r="59" spans="5:17">
      <c r="E59" s="134"/>
      <c r="F59" t="str">
        <f t="shared" si="7"/>
        <v>is2000-UserData[6]</v>
      </c>
      <c r="G59" s="11" t="s">
        <v>235</v>
      </c>
      <c r="H59" s="4" t="str">
        <f t="shared" si="9"/>
        <v>%QB270</v>
      </c>
      <c r="M59" s="137"/>
      <c r="N59" s="11"/>
      <c r="O59" t="s">
        <v>244</v>
      </c>
      <c r="P59" t="s">
        <v>238</v>
      </c>
      <c r="Q59">
        <f t="shared" si="10"/>
        <v>270</v>
      </c>
    </row>
    <row r="60" spans="5:17">
      <c r="E60" s="134"/>
      <c r="F60" t="str">
        <f t="shared" si="7"/>
        <v>is2000-UserData[7]</v>
      </c>
      <c r="G60" s="11" t="s">
        <v>235</v>
      </c>
      <c r="H60" s="4" t="str">
        <f t="shared" si="9"/>
        <v>%QB271</v>
      </c>
      <c r="M60" s="137"/>
      <c r="N60" s="11"/>
      <c r="O60" t="s">
        <v>245</v>
      </c>
      <c r="P60" t="s">
        <v>238</v>
      </c>
      <c r="Q60">
        <f t="shared" si="10"/>
        <v>271</v>
      </c>
    </row>
    <row r="61" spans="5:17">
      <c r="E61" s="134"/>
      <c r="F61" t="str">
        <f t="shared" si="7"/>
        <v>is2000-UserData[8]</v>
      </c>
      <c r="G61" s="11" t="s">
        <v>235</v>
      </c>
      <c r="H61" s="4" t="str">
        <f t="shared" si="9"/>
        <v>%QB272</v>
      </c>
      <c r="M61" s="137"/>
      <c r="N61" s="11"/>
      <c r="O61" t="s">
        <v>246</v>
      </c>
      <c r="P61" t="s">
        <v>238</v>
      </c>
      <c r="Q61">
        <f t="shared" si="10"/>
        <v>272</v>
      </c>
    </row>
    <row r="62" spans="5:17">
      <c r="E62" s="134"/>
      <c r="F62" t="str">
        <f t="shared" si="7"/>
        <v>is2000-UserData[9]</v>
      </c>
      <c r="G62" s="11" t="s">
        <v>235</v>
      </c>
      <c r="H62" s="4" t="str">
        <f t="shared" si="9"/>
        <v>%QB273</v>
      </c>
      <c r="M62" s="137"/>
      <c r="N62" s="11"/>
      <c r="O62" t="s">
        <v>247</v>
      </c>
      <c r="P62" t="s">
        <v>238</v>
      </c>
      <c r="Q62">
        <f t="shared" si="10"/>
        <v>273</v>
      </c>
    </row>
    <row r="63" spans="5:17">
      <c r="E63" s="134"/>
      <c r="F63" t="str">
        <f t="shared" si="7"/>
        <v>is2000-UserData[10]</v>
      </c>
      <c r="G63" s="11" t="s">
        <v>235</v>
      </c>
      <c r="H63" s="4" t="str">
        <f t="shared" si="9"/>
        <v>%QB274</v>
      </c>
      <c r="M63" s="137"/>
      <c r="N63" s="11"/>
      <c r="O63" t="s">
        <v>248</v>
      </c>
      <c r="P63" t="s">
        <v>238</v>
      </c>
      <c r="Q63">
        <f t="shared" si="10"/>
        <v>274</v>
      </c>
    </row>
    <row r="64" spans="5:17">
      <c r="E64" s="134"/>
      <c r="F64" t="str">
        <f t="shared" si="7"/>
        <v>is2000-UserData[11]</v>
      </c>
      <c r="G64" s="11" t="s">
        <v>235</v>
      </c>
      <c r="H64" s="4" t="str">
        <f t="shared" si="9"/>
        <v>%QB275</v>
      </c>
      <c r="M64" s="137"/>
      <c r="N64" s="11"/>
      <c r="O64" t="s">
        <v>249</v>
      </c>
      <c r="P64" t="s">
        <v>238</v>
      </c>
      <c r="Q64">
        <f t="shared" si="10"/>
        <v>275</v>
      </c>
    </row>
    <row r="65" spans="5:17">
      <c r="E65" s="134"/>
      <c r="F65" t="str">
        <f t="shared" si="7"/>
        <v>is2000-UserData[12]</v>
      </c>
      <c r="G65" s="11" t="s">
        <v>235</v>
      </c>
      <c r="H65" s="4" t="str">
        <f t="shared" si="9"/>
        <v>%QB276</v>
      </c>
      <c r="M65" s="137"/>
      <c r="N65" s="11"/>
      <c r="O65" t="s">
        <v>250</v>
      </c>
      <c r="P65" t="s">
        <v>238</v>
      </c>
      <c r="Q65">
        <f t="shared" si="10"/>
        <v>276</v>
      </c>
    </row>
    <row r="66" spans="5:17">
      <c r="E66" s="134"/>
      <c r="F66" t="str">
        <f t="shared" si="7"/>
        <v>is2000-UserData[13]</v>
      </c>
      <c r="G66" s="11" t="s">
        <v>235</v>
      </c>
      <c r="H66" s="4" t="str">
        <f t="shared" si="9"/>
        <v>%QB277</v>
      </c>
      <c r="M66" s="137"/>
      <c r="N66" s="11"/>
      <c r="O66" t="s">
        <v>251</v>
      </c>
      <c r="P66" t="s">
        <v>238</v>
      </c>
      <c r="Q66">
        <f t="shared" si="10"/>
        <v>277</v>
      </c>
    </row>
    <row r="67" spans="5:17">
      <c r="E67" s="134"/>
      <c r="F67" t="str">
        <f t="shared" si="7"/>
        <v>is2000-UserData[14]</v>
      </c>
      <c r="G67" s="11" t="s">
        <v>235</v>
      </c>
      <c r="H67" s="4" t="str">
        <f t="shared" si="9"/>
        <v>%QB278</v>
      </c>
      <c r="M67" s="137"/>
      <c r="N67" s="11"/>
      <c r="O67" t="s">
        <v>252</v>
      </c>
      <c r="P67" t="s">
        <v>238</v>
      </c>
      <c r="Q67">
        <f t="shared" si="10"/>
        <v>278</v>
      </c>
    </row>
    <row r="68" spans="5:17">
      <c r="E68" s="135"/>
      <c r="F68" s="19" t="str">
        <f t="shared" si="7"/>
        <v>is2000-UserData[15]</v>
      </c>
      <c r="G68" s="12" t="s">
        <v>235</v>
      </c>
      <c r="H68" s="20" t="str">
        <f t="shared" si="9"/>
        <v>%QB279</v>
      </c>
      <c r="M68" s="137"/>
      <c r="N68" s="11"/>
      <c r="O68" t="s">
        <v>253</v>
      </c>
      <c r="P68" t="s">
        <v>238</v>
      </c>
      <c r="Q68">
        <f t="shared" si="10"/>
        <v>279</v>
      </c>
    </row>
    <row r="69" spans="5:17">
      <c r="E69" s="134" t="s">
        <v>195</v>
      </c>
      <c r="F69" t="str">
        <f t="shared" si="7"/>
        <v>is2000-InspectionID</v>
      </c>
      <c r="G69" s="11" t="s">
        <v>87</v>
      </c>
      <c r="H69" s="4" t="str">
        <f t="shared" si="9"/>
        <v>%IW210</v>
      </c>
      <c r="M69" s="137"/>
      <c r="N69" s="87" t="s">
        <v>195</v>
      </c>
      <c r="O69" t="s">
        <v>254</v>
      </c>
      <c r="P69" t="s">
        <v>89</v>
      </c>
      <c r="Q69">
        <f>$B$15</f>
        <v>210</v>
      </c>
    </row>
    <row r="70" spans="5:17">
      <c r="E70" s="134"/>
      <c r="F70" t="str">
        <f t="shared" si="7"/>
        <v>is2000-InspectionResultsCode</v>
      </c>
      <c r="G70" s="11" t="s">
        <v>22</v>
      </c>
      <c r="H70" s="4" t="str">
        <f t="shared" si="9"/>
        <v>%IW212</v>
      </c>
      <c r="M70" s="137"/>
      <c r="N70" s="11"/>
      <c r="O70" t="s">
        <v>255</v>
      </c>
      <c r="P70" t="s">
        <v>89</v>
      </c>
      <c r="Q70">
        <f>SUM($B$15+2)</f>
        <v>212</v>
      </c>
    </row>
    <row r="71" spans="5:17">
      <c r="E71" s="134"/>
      <c r="F71" t="str">
        <f t="shared" si="7"/>
        <v>is2000-InspectionResults[0]</v>
      </c>
      <c r="G71" s="11" t="s">
        <v>235</v>
      </c>
      <c r="H71" s="4" t="str">
        <f t="shared" si="9"/>
        <v>%IB214</v>
      </c>
      <c r="M71" s="137"/>
      <c r="N71" s="11"/>
      <c r="O71" t="s">
        <v>256</v>
      </c>
      <c r="P71" t="s">
        <v>257</v>
      </c>
      <c r="Q71">
        <f>SUM(Q70+2)</f>
        <v>214</v>
      </c>
    </row>
    <row r="72" spans="5:17">
      <c r="E72" s="134"/>
      <c r="F72" t="str">
        <f t="shared" ref="F72:F86" si="11">$B$2&amp;"-"&amp;O72</f>
        <v>is2000-InspectionResults[1]</v>
      </c>
      <c r="G72" s="11" t="s">
        <v>235</v>
      </c>
      <c r="H72" s="4" t="str">
        <f t="shared" si="9"/>
        <v>%IB215</v>
      </c>
      <c r="M72" s="137"/>
      <c r="N72" s="11"/>
      <c r="O72" t="s">
        <v>258</v>
      </c>
      <c r="P72" t="s">
        <v>257</v>
      </c>
      <c r="Q72">
        <f t="shared" ref="Q72:Q86" si="12">SUM(Q71+1)</f>
        <v>215</v>
      </c>
    </row>
    <row r="73" spans="5:17">
      <c r="E73" s="134"/>
      <c r="F73" t="str">
        <f t="shared" si="11"/>
        <v>is2000-InspectionResults[2]</v>
      </c>
      <c r="G73" s="11" t="s">
        <v>235</v>
      </c>
      <c r="H73" s="4" t="str">
        <f t="shared" si="9"/>
        <v>%IB216</v>
      </c>
      <c r="M73" s="137"/>
      <c r="N73" s="11"/>
      <c r="O73" t="s">
        <v>259</v>
      </c>
      <c r="P73" t="s">
        <v>257</v>
      </c>
      <c r="Q73">
        <f t="shared" si="12"/>
        <v>216</v>
      </c>
    </row>
    <row r="74" spans="5:17">
      <c r="E74" s="134"/>
      <c r="F74" t="str">
        <f t="shared" si="11"/>
        <v>is2000-InspectionResults[3]</v>
      </c>
      <c r="G74" s="11" t="s">
        <v>235</v>
      </c>
      <c r="H74" s="4" t="str">
        <f t="shared" si="9"/>
        <v>%IB217</v>
      </c>
      <c r="M74" s="137"/>
      <c r="N74" s="11"/>
      <c r="O74" t="s">
        <v>260</v>
      </c>
      <c r="P74" t="s">
        <v>257</v>
      </c>
      <c r="Q74">
        <f t="shared" si="12"/>
        <v>217</v>
      </c>
    </row>
    <row r="75" spans="5:17">
      <c r="E75" s="134"/>
      <c r="F75" t="str">
        <f t="shared" si="11"/>
        <v>is2000-InspectionResults[4]</v>
      </c>
      <c r="G75" s="11" t="s">
        <v>235</v>
      </c>
      <c r="H75" s="4" t="str">
        <f t="shared" si="9"/>
        <v>%IB218</v>
      </c>
      <c r="M75" s="29"/>
      <c r="N75" s="11"/>
      <c r="O75" t="s">
        <v>261</v>
      </c>
      <c r="P75" t="s">
        <v>257</v>
      </c>
      <c r="Q75">
        <f t="shared" si="12"/>
        <v>218</v>
      </c>
    </row>
    <row r="76" spans="5:17">
      <c r="E76" s="134"/>
      <c r="F76" t="str">
        <f t="shared" si="11"/>
        <v>is2000-InspectionResults[5]</v>
      </c>
      <c r="G76" s="11" t="s">
        <v>235</v>
      </c>
      <c r="H76" s="4" t="str">
        <f t="shared" si="9"/>
        <v>%IB219</v>
      </c>
      <c r="N76" s="11"/>
      <c r="O76" t="s">
        <v>262</v>
      </c>
      <c r="P76" t="s">
        <v>257</v>
      </c>
      <c r="Q76">
        <f t="shared" si="12"/>
        <v>219</v>
      </c>
    </row>
    <row r="77" spans="5:17">
      <c r="E77" s="134"/>
      <c r="F77" t="str">
        <f t="shared" si="11"/>
        <v>is2000-InspectionResults[6]</v>
      </c>
      <c r="G77" s="11" t="s">
        <v>235</v>
      </c>
      <c r="H77" s="4" t="str">
        <f t="shared" si="9"/>
        <v>%IB220</v>
      </c>
      <c r="N77" s="11"/>
      <c r="O77" t="s">
        <v>263</v>
      </c>
      <c r="P77" t="s">
        <v>257</v>
      </c>
      <c r="Q77">
        <f t="shared" si="12"/>
        <v>220</v>
      </c>
    </row>
    <row r="78" spans="5:17">
      <c r="E78" s="134"/>
      <c r="F78" t="str">
        <f t="shared" si="11"/>
        <v>is2000-InspectionResults[7]</v>
      </c>
      <c r="G78" s="11" t="s">
        <v>235</v>
      </c>
      <c r="H78" s="4" t="str">
        <f t="shared" si="9"/>
        <v>%IB221</v>
      </c>
      <c r="N78" s="11"/>
      <c r="O78" t="s">
        <v>264</v>
      </c>
      <c r="P78" t="s">
        <v>257</v>
      </c>
      <c r="Q78">
        <f t="shared" si="12"/>
        <v>221</v>
      </c>
    </row>
    <row r="79" spans="5:17">
      <c r="E79" s="134"/>
      <c r="F79" t="str">
        <f t="shared" si="11"/>
        <v>is2000-InspectionResults[8]</v>
      </c>
      <c r="G79" s="11" t="s">
        <v>235</v>
      </c>
      <c r="H79" s="4" t="str">
        <f t="shared" si="9"/>
        <v>%IB222</v>
      </c>
      <c r="N79" s="11"/>
      <c r="O79" t="s">
        <v>265</v>
      </c>
      <c r="P79" t="s">
        <v>257</v>
      </c>
      <c r="Q79">
        <f t="shared" si="12"/>
        <v>222</v>
      </c>
    </row>
    <row r="80" spans="5:17">
      <c r="E80" s="134"/>
      <c r="F80" t="str">
        <f t="shared" si="11"/>
        <v>is2000-InspectionResults[9]</v>
      </c>
      <c r="G80" s="11" t="s">
        <v>235</v>
      </c>
      <c r="H80" s="4" t="str">
        <f t="shared" si="9"/>
        <v>%IB223</v>
      </c>
      <c r="N80" s="11"/>
      <c r="O80" t="s">
        <v>266</v>
      </c>
      <c r="P80" t="s">
        <v>257</v>
      </c>
      <c r="Q80">
        <f t="shared" si="12"/>
        <v>223</v>
      </c>
    </row>
    <row r="81" spans="5:17">
      <c r="E81" s="134"/>
      <c r="F81" t="str">
        <f t="shared" si="11"/>
        <v>is2000-InspectionResults[10]</v>
      </c>
      <c r="G81" s="11" t="s">
        <v>235</v>
      </c>
      <c r="H81" s="4" t="str">
        <f t="shared" si="9"/>
        <v>%IB224</v>
      </c>
      <c r="N81" s="11"/>
      <c r="O81" t="s">
        <v>267</v>
      </c>
      <c r="P81" t="s">
        <v>257</v>
      </c>
      <c r="Q81">
        <f t="shared" si="12"/>
        <v>224</v>
      </c>
    </row>
    <row r="82" spans="5:17">
      <c r="E82" s="134"/>
      <c r="F82" t="str">
        <f t="shared" si="11"/>
        <v>is2000-InspectionResults[11]</v>
      </c>
      <c r="G82" s="11" t="s">
        <v>235</v>
      </c>
      <c r="H82" s="4" t="str">
        <f t="shared" si="9"/>
        <v>%IB225</v>
      </c>
      <c r="N82" s="11"/>
      <c r="O82" t="s">
        <v>268</v>
      </c>
      <c r="P82" t="s">
        <v>257</v>
      </c>
      <c r="Q82">
        <f t="shared" si="12"/>
        <v>225</v>
      </c>
    </row>
    <row r="83" spans="5:17">
      <c r="E83" s="134"/>
      <c r="F83" t="str">
        <f t="shared" si="11"/>
        <v>is2000-InspectionResults[12]</v>
      </c>
      <c r="G83" s="11" t="s">
        <v>235</v>
      </c>
      <c r="H83" s="4" t="str">
        <f t="shared" si="9"/>
        <v>%IB226</v>
      </c>
      <c r="N83" s="11"/>
      <c r="O83" t="s">
        <v>269</v>
      </c>
      <c r="P83" t="s">
        <v>257</v>
      </c>
      <c r="Q83">
        <f t="shared" si="12"/>
        <v>226</v>
      </c>
    </row>
    <row r="84" spans="5:17">
      <c r="E84" s="134"/>
      <c r="F84" t="str">
        <f t="shared" si="11"/>
        <v>is2000-InspectionResults[13]</v>
      </c>
      <c r="G84" s="11" t="s">
        <v>235</v>
      </c>
      <c r="H84" s="4" t="str">
        <f t="shared" si="9"/>
        <v>%IB227</v>
      </c>
      <c r="N84" s="11"/>
      <c r="O84" t="s">
        <v>270</v>
      </c>
      <c r="P84" t="s">
        <v>257</v>
      </c>
      <c r="Q84">
        <f t="shared" si="12"/>
        <v>227</v>
      </c>
    </row>
    <row r="85" spans="5:17">
      <c r="E85" s="134"/>
      <c r="F85" t="str">
        <f t="shared" si="11"/>
        <v>is2000-InspectionResults[14]</v>
      </c>
      <c r="G85" s="11" t="s">
        <v>235</v>
      </c>
      <c r="H85" s="4" t="str">
        <f t="shared" si="9"/>
        <v>%IB228</v>
      </c>
      <c r="O85" t="s">
        <v>271</v>
      </c>
      <c r="P85" t="s">
        <v>257</v>
      </c>
      <c r="Q85">
        <f t="shared" si="12"/>
        <v>228</v>
      </c>
    </row>
    <row r="86" spans="5:17" ht="15" thickBot="1">
      <c r="E86" s="144"/>
      <c r="F86" s="5" t="str">
        <f t="shared" si="11"/>
        <v>is2000-InspectionResults[15]</v>
      </c>
      <c r="G86" s="13" t="s">
        <v>235</v>
      </c>
      <c r="H86" s="2" t="str">
        <f t="shared" si="9"/>
        <v>%IB229</v>
      </c>
      <c r="O86" t="s">
        <v>272</v>
      </c>
      <c r="P86" t="s">
        <v>257</v>
      </c>
      <c r="Q86">
        <f t="shared" si="12"/>
        <v>229</v>
      </c>
    </row>
  </sheetData>
  <mergeCells count="21">
    <mergeCell ref="A20:B20"/>
    <mergeCell ref="A21:B21"/>
    <mergeCell ref="E18:E22"/>
    <mergeCell ref="E9:E17"/>
    <mergeCell ref="E5:E8"/>
    <mergeCell ref="M5:M74"/>
    <mergeCell ref="N3:Q3"/>
    <mergeCell ref="E69:E86"/>
    <mergeCell ref="A23:B23"/>
    <mergeCell ref="E37:E44"/>
    <mergeCell ref="E45:E52"/>
    <mergeCell ref="E53:E68"/>
    <mergeCell ref="E23:E34"/>
    <mergeCell ref="A2:A3"/>
    <mergeCell ref="B2:B3"/>
    <mergeCell ref="E3:E4"/>
    <mergeCell ref="F3:H3"/>
    <mergeCell ref="A22:B22"/>
    <mergeCell ref="A17:B17"/>
    <mergeCell ref="A18:B18"/>
    <mergeCell ref="A19:B19"/>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9A325-F2DA-46DB-B08F-D3736286FCC7}">
  <sheetPr codeName="Sheet8"/>
  <dimension ref="A1:Q103"/>
  <sheetViews>
    <sheetView topLeftCell="A18" workbookViewId="0">
      <selection activeCell="C3" sqref="C3"/>
    </sheetView>
  </sheetViews>
  <sheetFormatPr defaultRowHeight="14.4"/>
  <cols>
    <col min="1" max="1" width="35" customWidth="1"/>
    <col min="2" max="2" width="21.44140625" style="1" customWidth="1"/>
    <col min="3" max="3" width="12.88671875" style="1" customWidth="1"/>
    <col min="4" max="4" width="24.109375" bestFit="1" customWidth="1"/>
    <col min="5" max="5" width="30.6640625" customWidth="1"/>
    <col min="6" max="6" width="41.44140625" customWidth="1"/>
    <col min="7" max="8" width="10" customWidth="1"/>
    <col min="13" max="13" width="48.109375" customWidth="1"/>
    <col min="14" max="14" width="29.33203125" customWidth="1"/>
    <col min="15" max="15" width="27.33203125" customWidth="1"/>
  </cols>
  <sheetData>
    <row r="1" spans="1:17" ht="15" thickBot="1"/>
    <row r="2" spans="1:17" ht="15" thickBot="1">
      <c r="A2" s="123" t="s">
        <v>176</v>
      </c>
      <c r="B2" s="125" t="s">
        <v>177</v>
      </c>
    </row>
    <row r="3" spans="1:17" ht="15" thickBot="1">
      <c r="A3" s="124"/>
      <c r="B3" s="126"/>
      <c r="E3" s="127"/>
      <c r="F3" s="129" t="s">
        <v>2</v>
      </c>
      <c r="G3" s="130"/>
      <c r="H3" s="131"/>
      <c r="I3" s="1"/>
      <c r="N3" s="132" t="s">
        <v>3</v>
      </c>
      <c r="O3" s="132"/>
      <c r="P3" s="132"/>
      <c r="Q3" s="132"/>
    </row>
    <row r="4" spans="1:17" ht="15" thickBot="1">
      <c r="A4" s="11"/>
      <c r="B4" s="11"/>
      <c r="E4" s="128"/>
      <c r="F4" s="34" t="s">
        <v>4</v>
      </c>
      <c r="G4" s="31" t="s">
        <v>5</v>
      </c>
      <c r="H4" s="33" t="s">
        <v>6</v>
      </c>
      <c r="Q4" t="s">
        <v>7</v>
      </c>
    </row>
    <row r="5" spans="1:17" ht="16.2" thickBot="1">
      <c r="A5" s="7" t="s">
        <v>8</v>
      </c>
      <c r="B5" s="7" t="s">
        <v>9</v>
      </c>
      <c r="E5" s="133" t="s">
        <v>178</v>
      </c>
      <c r="F5" s="23" t="str">
        <f t="shared" ref="F5:F69" si="0">$B$2&amp;"-"&amp;O5</f>
        <v>D902M-TriggerEnable</v>
      </c>
      <c r="G5" s="10" t="s">
        <v>11</v>
      </c>
      <c r="H5" s="25" t="str">
        <f>P5&amp;$B$6&amp;"."&amp;Q5</f>
        <v>%Q94.0</v>
      </c>
      <c r="M5" s="136" t="s">
        <v>12</v>
      </c>
      <c r="N5" s="15" t="s">
        <v>178</v>
      </c>
      <c r="O5" t="s">
        <v>13</v>
      </c>
      <c r="P5" t="s">
        <v>14</v>
      </c>
      <c r="Q5" s="3">
        <v>0</v>
      </c>
    </row>
    <row r="6" spans="1:17">
      <c r="A6" s="8" t="s">
        <v>178</v>
      </c>
      <c r="B6" s="36">
        <v>94</v>
      </c>
      <c r="E6" s="134"/>
      <c r="F6" s="23" t="str">
        <f t="shared" si="0"/>
        <v>D902M-Trigger</v>
      </c>
      <c r="G6" s="11" t="s">
        <v>11</v>
      </c>
      <c r="H6" s="4" t="str">
        <f t="shared" ref="H6:H7" si="1">P6&amp;$B$6&amp;"."&amp;Q6</f>
        <v>%Q94.1</v>
      </c>
      <c r="M6" s="137"/>
      <c r="N6" s="15"/>
      <c r="O6" t="s">
        <v>179</v>
      </c>
      <c r="P6" t="s">
        <v>14</v>
      </c>
      <c r="Q6" s="3">
        <v>1</v>
      </c>
    </row>
    <row r="7" spans="1:17">
      <c r="A7" s="8" t="s">
        <v>180</v>
      </c>
      <c r="B7" s="37">
        <v>994</v>
      </c>
      <c r="E7" s="134"/>
      <c r="F7" s="23" t="str">
        <f t="shared" si="0"/>
        <v>D902M-ClearExposureComplete</v>
      </c>
      <c r="G7" s="11" t="s">
        <v>11</v>
      </c>
      <c r="H7" s="4" t="str">
        <f t="shared" si="1"/>
        <v>%Q94.2</v>
      </c>
      <c r="M7" s="137"/>
      <c r="O7" t="s">
        <v>181</v>
      </c>
      <c r="P7" t="s">
        <v>14</v>
      </c>
      <c r="Q7">
        <v>2</v>
      </c>
    </row>
    <row r="8" spans="1:17">
      <c r="A8" s="8" t="s">
        <v>182</v>
      </c>
      <c r="B8" s="37">
        <v>49</v>
      </c>
      <c r="E8" s="135"/>
      <c r="F8" s="113" t="str">
        <f t="shared" si="0"/>
        <v>D902M-SetPaused</v>
      </c>
      <c r="G8" s="12" t="s">
        <v>11</v>
      </c>
      <c r="H8" s="20" t="str">
        <f>P8&amp;$B$6&amp;"."&amp;Q8</f>
        <v>%Q94.7</v>
      </c>
      <c r="M8" s="137"/>
      <c r="N8" s="15"/>
      <c r="O8" t="s">
        <v>183</v>
      </c>
      <c r="P8" t="s">
        <v>14</v>
      </c>
      <c r="Q8" s="3">
        <v>7</v>
      </c>
    </row>
    <row r="9" spans="1:17">
      <c r="A9" s="8" t="s">
        <v>184</v>
      </c>
      <c r="B9" s="37">
        <v>531</v>
      </c>
      <c r="E9" s="133" t="s">
        <v>180</v>
      </c>
      <c r="F9" s="23" t="str">
        <f t="shared" si="0"/>
        <v>D902M-TriggerReady</v>
      </c>
      <c r="G9" s="10" t="s">
        <v>11</v>
      </c>
      <c r="H9" s="25" t="str">
        <f t="shared" ref="H9:H16" si="2">P9&amp;$B$7&amp;"."&amp;Q9</f>
        <v>%I994.0</v>
      </c>
      <c r="M9" s="137"/>
      <c r="N9" s="87" t="s">
        <v>180</v>
      </c>
      <c r="O9" t="s">
        <v>185</v>
      </c>
      <c r="P9" t="s">
        <v>80</v>
      </c>
      <c r="Q9" s="3">
        <v>0</v>
      </c>
    </row>
    <row r="10" spans="1:17">
      <c r="A10" s="8" t="s">
        <v>186</v>
      </c>
      <c r="B10" s="37">
        <v>504</v>
      </c>
      <c r="E10" s="134"/>
      <c r="F10" s="23" t="str">
        <f t="shared" si="0"/>
        <v>D902M-TriggerAck</v>
      </c>
      <c r="G10" s="11" t="s">
        <v>11</v>
      </c>
      <c r="H10" s="4" t="str">
        <f t="shared" si="2"/>
        <v>%I994.1</v>
      </c>
      <c r="M10" s="137"/>
      <c r="N10" s="87"/>
      <c r="O10" t="s">
        <v>187</v>
      </c>
      <c r="P10" t="s">
        <v>80</v>
      </c>
      <c r="Q10" s="3">
        <v>1</v>
      </c>
    </row>
    <row r="11" spans="1:17">
      <c r="A11" s="8" t="s">
        <v>188</v>
      </c>
      <c r="B11" s="37">
        <v>535</v>
      </c>
      <c r="E11" s="134"/>
      <c r="F11" s="23" t="str">
        <f t="shared" si="0"/>
        <v>D902M-ExposureComplete</v>
      </c>
      <c r="G11" s="11" t="s">
        <v>11</v>
      </c>
      <c r="H11" s="4" t="str">
        <f t="shared" si="2"/>
        <v>%I994.2</v>
      </c>
      <c r="M11" s="137"/>
      <c r="N11" s="87"/>
      <c r="O11" t="s">
        <v>189</v>
      </c>
      <c r="P11" t="s">
        <v>80</v>
      </c>
      <c r="Q11" s="3">
        <v>2</v>
      </c>
    </row>
    <row r="12" spans="1:17">
      <c r="A12" s="8" t="s">
        <v>190</v>
      </c>
      <c r="B12" s="37">
        <v>32</v>
      </c>
      <c r="E12" s="134"/>
      <c r="F12" s="23" t="str">
        <f t="shared" si="0"/>
        <v>D902M-AcquisitionError</v>
      </c>
      <c r="G12" s="11" t="s">
        <v>11</v>
      </c>
      <c r="H12" s="4" t="str">
        <f t="shared" si="2"/>
        <v>%I994.3</v>
      </c>
      <c r="M12" s="137"/>
      <c r="N12" s="87"/>
      <c r="O12" t="s">
        <v>191</v>
      </c>
      <c r="P12" t="s">
        <v>80</v>
      </c>
      <c r="Q12" s="3">
        <v>3</v>
      </c>
    </row>
    <row r="13" spans="1:17">
      <c r="A13" s="8" t="s">
        <v>192</v>
      </c>
      <c r="B13" s="37">
        <v>62</v>
      </c>
      <c r="E13" s="134"/>
      <c r="F13" s="23" t="str">
        <f t="shared" si="0"/>
        <v>D902M-Reserved</v>
      </c>
      <c r="G13" s="11" t="s">
        <v>11</v>
      </c>
      <c r="H13" s="4" t="str">
        <f t="shared" si="2"/>
        <v>%I994.4</v>
      </c>
      <c r="M13" s="137"/>
      <c r="N13" s="87"/>
      <c r="O13" t="s">
        <v>193</v>
      </c>
      <c r="P13" t="s">
        <v>80</v>
      </c>
      <c r="Q13" s="3">
        <v>4</v>
      </c>
    </row>
    <row r="14" spans="1:17">
      <c r="A14" s="8" t="s">
        <v>194</v>
      </c>
      <c r="B14" s="37">
        <v>506</v>
      </c>
      <c r="E14" s="134"/>
      <c r="F14" s="23" t="str">
        <f t="shared" si="0"/>
        <v>D902M-Reserved</v>
      </c>
      <c r="G14" s="11" t="s">
        <v>11</v>
      </c>
      <c r="H14" s="4" t="str">
        <f t="shared" si="2"/>
        <v>%I994.5</v>
      </c>
      <c r="M14" s="137"/>
      <c r="N14" s="87"/>
      <c r="O14" t="s">
        <v>193</v>
      </c>
      <c r="P14" t="s">
        <v>80</v>
      </c>
      <c r="Q14" s="3">
        <v>5</v>
      </c>
    </row>
    <row r="15" spans="1:17">
      <c r="A15" s="9" t="s">
        <v>195</v>
      </c>
      <c r="B15" s="38">
        <v>539</v>
      </c>
      <c r="E15" s="134"/>
      <c r="F15" s="113" t="str">
        <f t="shared" si="0"/>
        <v>D902M-Paused</v>
      </c>
      <c r="G15" s="11" t="s">
        <v>11</v>
      </c>
      <c r="H15" s="4" t="str">
        <f t="shared" si="2"/>
        <v>%I994.6</v>
      </c>
      <c r="M15" s="137"/>
      <c r="N15" s="87"/>
      <c r="O15" t="s">
        <v>160</v>
      </c>
      <c r="P15" t="s">
        <v>80</v>
      </c>
      <c r="Q15" s="3">
        <v>6</v>
      </c>
    </row>
    <row r="16" spans="1:17">
      <c r="E16" s="134"/>
      <c r="F16" s="113" t="str">
        <f t="shared" si="0"/>
        <v>D902M-Online</v>
      </c>
      <c r="G16" s="11" t="s">
        <v>11</v>
      </c>
      <c r="H16" s="4" t="str">
        <f t="shared" si="2"/>
        <v>%I994.7</v>
      </c>
      <c r="M16" s="137"/>
      <c r="N16" s="87"/>
      <c r="O16" t="s">
        <v>161</v>
      </c>
      <c r="P16" t="s">
        <v>80</v>
      </c>
      <c r="Q16" s="3">
        <v>7</v>
      </c>
    </row>
    <row r="17" spans="1:17">
      <c r="A17" s="138" t="s">
        <v>40</v>
      </c>
      <c r="B17" s="139"/>
      <c r="E17" s="135"/>
      <c r="F17" s="23" t="str">
        <f t="shared" si="0"/>
        <v>D902M-AcquisitionID</v>
      </c>
      <c r="G17" s="12" t="s">
        <v>22</v>
      </c>
      <c r="H17" s="20" t="str">
        <f>P17&amp;Q17</f>
        <v>%IW995</v>
      </c>
      <c r="M17" s="137"/>
      <c r="N17" s="87"/>
      <c r="O17" t="s">
        <v>196</v>
      </c>
      <c r="P17" t="s">
        <v>89</v>
      </c>
      <c r="Q17" s="3">
        <f>SUM(B7+1)</f>
        <v>995</v>
      </c>
    </row>
    <row r="18" spans="1:17">
      <c r="A18" s="140" t="s">
        <v>42</v>
      </c>
      <c r="B18" s="141"/>
      <c r="E18" s="133" t="s">
        <v>182</v>
      </c>
      <c r="F18" s="23" t="str">
        <f t="shared" si="0"/>
        <v>D902M-BufferResultsEnable</v>
      </c>
      <c r="G18" s="10" t="s">
        <v>11</v>
      </c>
      <c r="H18" s="25" t="str">
        <f>P18&amp;$B$8&amp;"."&amp;Q18</f>
        <v>%Q49.0</v>
      </c>
      <c r="M18" s="137"/>
      <c r="N18" s="87" t="s">
        <v>182</v>
      </c>
      <c r="O18" t="s">
        <v>16</v>
      </c>
      <c r="P18" t="s">
        <v>14</v>
      </c>
      <c r="Q18" s="3">
        <v>0</v>
      </c>
    </row>
    <row r="19" spans="1:17">
      <c r="A19" s="140" t="s">
        <v>197</v>
      </c>
      <c r="B19" s="141"/>
      <c r="E19" s="134"/>
      <c r="F19" s="23" t="str">
        <f t="shared" si="0"/>
        <v>D902M-InspectionResultsAck</v>
      </c>
      <c r="G19" s="11" t="s">
        <v>11</v>
      </c>
      <c r="H19" s="4" t="str">
        <f>P19&amp;$B$8&amp;"."&amp;Q19</f>
        <v>%Q49.1</v>
      </c>
      <c r="M19" s="137"/>
      <c r="N19" s="87"/>
      <c r="O19" t="s">
        <v>198</v>
      </c>
      <c r="P19" t="s">
        <v>14</v>
      </c>
      <c r="Q19" s="3">
        <v>1</v>
      </c>
    </row>
    <row r="20" spans="1:17">
      <c r="A20" s="140" t="s">
        <v>199</v>
      </c>
      <c r="B20" s="141"/>
      <c r="E20" s="134"/>
      <c r="F20" s="23" t="str">
        <f t="shared" si="0"/>
        <v>D902M-SetUserData</v>
      </c>
      <c r="G20" s="11" t="s">
        <v>11</v>
      </c>
      <c r="H20" s="4" t="str">
        <f>P20&amp;$B$8&amp;"."&amp;Q20</f>
        <v>%Q49.2</v>
      </c>
      <c r="M20" s="137"/>
      <c r="N20" s="87"/>
      <c r="O20" t="s">
        <v>200</v>
      </c>
      <c r="P20" t="s">
        <v>14</v>
      </c>
      <c r="Q20" s="3">
        <v>2</v>
      </c>
    </row>
    <row r="21" spans="1:17">
      <c r="A21" s="140" t="s">
        <v>49</v>
      </c>
      <c r="B21" s="141"/>
      <c r="E21" s="134"/>
      <c r="F21" s="23" t="str">
        <f t="shared" si="0"/>
        <v>D902M-ExecuteCommand/JobLoad</v>
      </c>
      <c r="G21" s="11" t="s">
        <v>11</v>
      </c>
      <c r="H21" s="4" t="str">
        <f>P21&amp;$B$8&amp;"."&amp;Q21</f>
        <v>%Q49.3</v>
      </c>
      <c r="M21" s="137"/>
      <c r="N21" s="87"/>
      <c r="O21" t="s">
        <v>201</v>
      </c>
      <c r="P21" t="s">
        <v>14</v>
      </c>
      <c r="Q21" s="3">
        <v>3</v>
      </c>
    </row>
    <row r="22" spans="1:17">
      <c r="A22" s="140" t="s">
        <v>51</v>
      </c>
      <c r="B22" s="141"/>
      <c r="E22" s="135"/>
      <c r="F22" s="23" t="str">
        <f t="shared" si="0"/>
        <v>D902M-ClearError</v>
      </c>
      <c r="G22" s="12" t="s">
        <v>11</v>
      </c>
      <c r="H22" s="20" t="str">
        <f>P22&amp;$B$8&amp;"."&amp;Q22</f>
        <v>%Q49.7</v>
      </c>
      <c r="M22" s="137"/>
      <c r="O22" t="s">
        <v>20</v>
      </c>
      <c r="P22" t="s">
        <v>14</v>
      </c>
      <c r="Q22" s="3">
        <v>7</v>
      </c>
    </row>
    <row r="23" spans="1:17" ht="15" thickBot="1">
      <c r="A23" s="142" t="s">
        <v>53</v>
      </c>
      <c r="B23" s="143"/>
      <c r="E23" s="133" t="s">
        <v>184</v>
      </c>
      <c r="F23" s="23" t="str">
        <f t="shared" si="0"/>
        <v>D902M-SystemReady</v>
      </c>
      <c r="G23" s="10" t="s">
        <v>11</v>
      </c>
      <c r="H23" s="25" t="str">
        <f t="shared" ref="H23:H30" si="3">P23&amp;$B$9&amp;"."&amp;Q23</f>
        <v>%I531.0</v>
      </c>
      <c r="M23" s="137"/>
      <c r="N23" s="87" t="s">
        <v>184</v>
      </c>
      <c r="O23" t="s">
        <v>202</v>
      </c>
      <c r="P23" t="s">
        <v>80</v>
      </c>
      <c r="Q23" s="3">
        <v>0</v>
      </c>
    </row>
    <row r="24" spans="1:17">
      <c r="E24" s="134"/>
      <c r="F24" s="23" t="str">
        <f t="shared" si="0"/>
        <v>D902M-InspectionCompleted</v>
      </c>
      <c r="G24" s="11" t="s">
        <v>11</v>
      </c>
      <c r="H24" s="4" t="str">
        <f t="shared" si="3"/>
        <v>%I531.1</v>
      </c>
      <c r="M24" s="137"/>
      <c r="N24" s="87"/>
      <c r="O24" t="s">
        <v>203</v>
      </c>
      <c r="P24" t="s">
        <v>80</v>
      </c>
      <c r="Q24" s="3">
        <v>1</v>
      </c>
    </row>
    <row r="25" spans="1:17">
      <c r="E25" s="134"/>
      <c r="F25" s="23" t="str">
        <f t="shared" si="0"/>
        <v>D902M-ResultsBufferOverrun</v>
      </c>
      <c r="G25" s="11" t="s">
        <v>11</v>
      </c>
      <c r="H25" s="4" t="str">
        <f t="shared" si="3"/>
        <v>%I531.2</v>
      </c>
      <c r="M25" s="137"/>
      <c r="N25" s="87"/>
      <c r="O25" t="s">
        <v>204</v>
      </c>
      <c r="P25" t="s">
        <v>80</v>
      </c>
      <c r="Q25" s="3">
        <v>2</v>
      </c>
    </row>
    <row r="26" spans="1:17">
      <c r="A26" s="23" t="str">
        <f>F16</f>
        <v>D902M-Online</v>
      </c>
      <c r="B26" s="11" t="s">
        <v>11</v>
      </c>
      <c r="C26" s="4" t="str">
        <f>H16</f>
        <v>%I994.7</v>
      </c>
      <c r="E26" s="134"/>
      <c r="F26" s="23" t="str">
        <f t="shared" si="0"/>
        <v>D902M-ResultsValid</v>
      </c>
      <c r="G26" s="11" t="s">
        <v>11</v>
      </c>
      <c r="H26" s="4" t="str">
        <f t="shared" si="3"/>
        <v>%I531.3</v>
      </c>
      <c r="M26" s="137"/>
      <c r="N26" s="87"/>
      <c r="O26" t="s">
        <v>205</v>
      </c>
      <c r="P26" t="s">
        <v>80</v>
      </c>
      <c r="Q26" s="3">
        <v>3</v>
      </c>
    </row>
    <row r="27" spans="1:17">
      <c r="A27" t="str">
        <f>F8</f>
        <v>D902M-SetPaused</v>
      </c>
      <c r="B27" s="11" t="s">
        <v>11</v>
      </c>
      <c r="C27" s="1" t="str">
        <f>H8</f>
        <v>%Q94.7</v>
      </c>
      <c r="E27" s="134"/>
      <c r="F27" s="23" t="str">
        <f t="shared" si="0"/>
        <v>D902M-CommandExecuting</v>
      </c>
      <c r="G27" s="11" t="s">
        <v>11</v>
      </c>
      <c r="H27" s="4" t="str">
        <f t="shared" si="3"/>
        <v>%I531.4</v>
      </c>
      <c r="M27" s="137"/>
      <c r="N27" s="87"/>
      <c r="O27" t="s">
        <v>206</v>
      </c>
      <c r="P27" t="s">
        <v>80</v>
      </c>
      <c r="Q27" s="3">
        <v>4</v>
      </c>
    </row>
    <row r="28" spans="1:17">
      <c r="A28" t="str">
        <f>F15</f>
        <v>D902M-Paused</v>
      </c>
      <c r="B28" s="11" t="s">
        <v>11</v>
      </c>
      <c r="C28" s="1" t="str">
        <f>H15</f>
        <v>%I994.6</v>
      </c>
      <c r="E28" s="134"/>
      <c r="F28" s="23" t="str">
        <f t="shared" si="0"/>
        <v>D902M-CommandCompleted</v>
      </c>
      <c r="G28" s="11" t="s">
        <v>11</v>
      </c>
      <c r="H28" s="4" t="str">
        <f t="shared" si="3"/>
        <v>%I531.5</v>
      </c>
      <c r="M28" s="137"/>
      <c r="N28" s="87"/>
      <c r="O28" t="s">
        <v>207</v>
      </c>
      <c r="P28" t="s">
        <v>80</v>
      </c>
      <c r="Q28" s="3">
        <v>5</v>
      </c>
    </row>
    <row r="29" spans="1:17">
      <c r="A29" t="str">
        <f>F5</f>
        <v>D902M-TriggerEnable</v>
      </c>
      <c r="B29" s="11" t="s">
        <v>11</v>
      </c>
      <c r="C29" s="1" t="str">
        <f>H5</f>
        <v>%Q94.0</v>
      </c>
      <c r="E29" s="134"/>
      <c r="F29" s="23" t="str">
        <f t="shared" si="0"/>
        <v>D902M-CommandFailed</v>
      </c>
      <c r="G29" s="11" t="s">
        <v>11</v>
      </c>
      <c r="H29" s="4" t="str">
        <f t="shared" si="3"/>
        <v>%I531.6</v>
      </c>
      <c r="M29" s="137"/>
      <c r="N29" s="87"/>
      <c r="O29" t="s">
        <v>208</v>
      </c>
      <c r="P29" t="s">
        <v>80</v>
      </c>
      <c r="Q29" s="3">
        <v>6</v>
      </c>
    </row>
    <row r="30" spans="1:17">
      <c r="A30" t="str">
        <f>F9</f>
        <v>D902M-TriggerReady</v>
      </c>
      <c r="B30" s="11" t="s">
        <v>11</v>
      </c>
      <c r="C30" s="1" t="str">
        <f>H9</f>
        <v>%I994.0</v>
      </c>
      <c r="E30" s="134"/>
      <c r="F30" s="23" t="str">
        <f t="shared" si="0"/>
        <v>D902M-SetUserDataAck</v>
      </c>
      <c r="G30" s="11" t="s">
        <v>11</v>
      </c>
      <c r="H30" s="4" t="str">
        <f t="shared" si="3"/>
        <v>%I531.7</v>
      </c>
      <c r="M30" s="137"/>
      <c r="N30" s="87"/>
      <c r="O30" t="s">
        <v>209</v>
      </c>
      <c r="P30" t="s">
        <v>80</v>
      </c>
      <c r="Q30" s="3">
        <v>7</v>
      </c>
    </row>
    <row r="31" spans="1:17">
      <c r="A31" t="str">
        <f>F6</f>
        <v>D902M-Trigger</v>
      </c>
      <c r="B31" s="11" t="s">
        <v>11</v>
      </c>
      <c r="C31" s="1" t="str">
        <f>H6</f>
        <v>%Q94.1</v>
      </c>
      <c r="E31" s="134"/>
      <c r="F31" s="23" t="str">
        <f t="shared" si="0"/>
        <v>D902M-ResultsPassed (Job)</v>
      </c>
      <c r="G31" s="11" t="s">
        <v>11</v>
      </c>
      <c r="H31" s="4" t="str">
        <f>P31&amp;SUM($B$9+1)&amp;"."&amp;Q31</f>
        <v>%I532.0</v>
      </c>
      <c r="M31" s="137"/>
      <c r="N31" s="87"/>
      <c r="O31" t="s">
        <v>210</v>
      </c>
      <c r="P31" t="s">
        <v>80</v>
      </c>
      <c r="Q31" s="3">
        <v>0</v>
      </c>
    </row>
    <row r="32" spans="1:17">
      <c r="A32" t="str">
        <f>F10</f>
        <v>D902M-TriggerAck</v>
      </c>
      <c r="B32" s="11" t="s">
        <v>11</v>
      </c>
      <c r="C32" s="1" t="str">
        <f>H10</f>
        <v>%I994.1</v>
      </c>
      <c r="E32" s="134"/>
      <c r="F32" s="23" t="str">
        <f t="shared" si="0"/>
        <v>D902M-Reserved</v>
      </c>
      <c r="G32" s="11" t="s">
        <v>11</v>
      </c>
      <c r="H32" s="4" t="str">
        <f>P32&amp;SUM($B$9+1)&amp;"."&amp;Q32</f>
        <v>%I532.1</v>
      </c>
      <c r="M32" s="137"/>
      <c r="N32" s="87"/>
      <c r="O32" t="s">
        <v>193</v>
      </c>
      <c r="P32" t="s">
        <v>80</v>
      </c>
      <c r="Q32" s="3">
        <v>1</v>
      </c>
    </row>
    <row r="33" spans="1:17">
      <c r="A33" t="str">
        <f>F11</f>
        <v>D902M-ExposureComplete</v>
      </c>
      <c r="B33" s="11" t="s">
        <v>11</v>
      </c>
      <c r="C33" s="1" t="str">
        <f>H11</f>
        <v>%I994.2</v>
      </c>
      <c r="E33" s="134"/>
      <c r="F33" s="23" t="str">
        <f t="shared" si="0"/>
        <v>D902M-Error</v>
      </c>
      <c r="G33" s="11" t="s">
        <v>11</v>
      </c>
      <c r="H33" s="4" t="str">
        <f t="shared" ref="H33" si="4">P33&amp;SUM($B$9+1)&amp;"."&amp;Q33</f>
        <v>%I532.7</v>
      </c>
      <c r="M33" s="137"/>
      <c r="O33" t="s">
        <v>86</v>
      </c>
      <c r="P33" t="s">
        <v>80</v>
      </c>
      <c r="Q33" s="3">
        <v>7</v>
      </c>
    </row>
    <row r="34" spans="1:17">
      <c r="A34" t="str">
        <f>F7</f>
        <v>D902M-ClearExposureComplete</v>
      </c>
      <c r="B34" s="11" t="s">
        <v>11</v>
      </c>
      <c r="C34" s="11" t="str">
        <f>H7</f>
        <v>%Q94.2</v>
      </c>
      <c r="E34" s="135"/>
      <c r="F34" s="23" t="str">
        <f t="shared" si="0"/>
        <v>D902M-ErrorCode</v>
      </c>
      <c r="G34" s="12" t="s">
        <v>87</v>
      </c>
      <c r="H34" s="20" t="str">
        <f>P34&amp;SUM($B$9+2)</f>
        <v>%IW533</v>
      </c>
      <c r="M34" s="137"/>
      <c r="O34" t="s">
        <v>211</v>
      </c>
      <c r="P34" t="s">
        <v>89</v>
      </c>
    </row>
    <row r="35" spans="1:17">
      <c r="A35" t="str">
        <f>F12</f>
        <v>D902M-AcquisitionError</v>
      </c>
      <c r="B35" s="11" t="s">
        <v>11</v>
      </c>
      <c r="C35" s="1" t="str">
        <f>H12</f>
        <v>%I994.3</v>
      </c>
      <c r="E35" s="35" t="s">
        <v>212</v>
      </c>
      <c r="F35" s="23" t="str">
        <f t="shared" si="0"/>
        <v>D902M-CommandID</v>
      </c>
      <c r="G35" s="27" t="s">
        <v>87</v>
      </c>
      <c r="H35" s="28" t="str">
        <f>P35&amp;$B$10</f>
        <v>%QW504</v>
      </c>
      <c r="M35" s="137"/>
      <c r="N35" s="87" t="s">
        <v>212</v>
      </c>
      <c r="O35" t="s">
        <v>213</v>
      </c>
      <c r="P35" t="s">
        <v>24</v>
      </c>
    </row>
    <row r="36" spans="1:17">
      <c r="A36" t="str">
        <f>F23</f>
        <v>D902M-SystemReady</v>
      </c>
      <c r="B36" s="11" t="s">
        <v>11</v>
      </c>
      <c r="C36" s="1" t="str">
        <f>H23</f>
        <v>%I531.0</v>
      </c>
      <c r="E36" s="114" t="s">
        <v>214</v>
      </c>
      <c r="F36" s="23" t="str">
        <f t="shared" si="0"/>
        <v>D902M-CommandResultCode</v>
      </c>
      <c r="G36" s="27" t="s">
        <v>87</v>
      </c>
      <c r="H36" s="28" t="str">
        <f>P36&amp;$B$11</f>
        <v>%IW535</v>
      </c>
      <c r="M36" s="137"/>
      <c r="N36" s="87" t="s">
        <v>214</v>
      </c>
      <c r="O36" t="s">
        <v>215</v>
      </c>
      <c r="P36" t="s">
        <v>89</v>
      </c>
    </row>
    <row r="37" spans="1:17" ht="15" thickBot="1">
      <c r="A37" t="str">
        <f>F24</f>
        <v>D902M-InspectionCompleted</v>
      </c>
      <c r="B37" s="11" t="s">
        <v>11</v>
      </c>
      <c r="C37" s="1" t="str">
        <f>H24</f>
        <v>%I531.1</v>
      </c>
      <c r="E37" s="112"/>
      <c r="F37" s="23" t="str">
        <f t="shared" si="0"/>
        <v>D902M-Current Job ID</v>
      </c>
      <c r="G37" s="10" t="s">
        <v>87</v>
      </c>
      <c r="H37" s="28" t="str">
        <f>P37&amp;$B$11+2</f>
        <v>%IW537</v>
      </c>
      <c r="M37" s="137"/>
      <c r="N37" s="87"/>
      <c r="O37" t="s">
        <v>511</v>
      </c>
      <c r="P37" t="s">
        <v>89</v>
      </c>
    </row>
    <row r="38" spans="1:17">
      <c r="A38" t="str">
        <f>F31</f>
        <v>D902M-ResultsPassed (Job)</v>
      </c>
      <c r="B38" s="11" t="s">
        <v>11</v>
      </c>
      <c r="C38" s="1" t="str">
        <f>H31</f>
        <v>%I532.0</v>
      </c>
      <c r="E38" s="134" t="s">
        <v>216</v>
      </c>
      <c r="F38" s="23" t="str">
        <f t="shared" si="0"/>
        <v>D902M-ExternalEvent[0]</v>
      </c>
      <c r="G38" s="10" t="s">
        <v>11</v>
      </c>
      <c r="H38" s="25" t="str">
        <f t="shared" ref="H38:H45" si="5">P38&amp;$B$12&amp;"."&amp;Q38</f>
        <v>%Q32.0</v>
      </c>
      <c r="M38" s="137"/>
      <c r="N38" s="87" t="s">
        <v>217</v>
      </c>
      <c r="O38" t="s">
        <v>218</v>
      </c>
      <c r="P38" t="s">
        <v>14</v>
      </c>
      <c r="Q38" s="3">
        <v>0</v>
      </c>
    </row>
    <row r="39" spans="1:17">
      <c r="A39" t="str">
        <f>F17</f>
        <v>D902M-AcquisitionID</v>
      </c>
      <c r="B39" s="1" t="s">
        <v>22</v>
      </c>
      <c r="C39" s="1" t="str">
        <f>H17</f>
        <v>%IW995</v>
      </c>
      <c r="E39" s="134"/>
      <c r="F39" s="23" t="str">
        <f t="shared" si="0"/>
        <v>D902M-ExternalEvent[1]</v>
      </c>
      <c r="G39" s="11" t="s">
        <v>11</v>
      </c>
      <c r="H39" s="4" t="str">
        <f t="shared" si="5"/>
        <v>%Q32.1</v>
      </c>
      <c r="M39" s="137"/>
      <c r="N39" s="87"/>
      <c r="O39" t="s">
        <v>219</v>
      </c>
      <c r="P39" t="s">
        <v>14</v>
      </c>
      <c r="Q39" s="3">
        <v>1</v>
      </c>
    </row>
    <row r="40" spans="1:17">
      <c r="A40" t="str">
        <f>F18</f>
        <v>D902M-BufferResultsEnable</v>
      </c>
      <c r="B40" s="1" t="s">
        <v>11</v>
      </c>
      <c r="C40" s="1" t="str">
        <f>H18</f>
        <v>%Q49.0</v>
      </c>
      <c r="E40" s="134"/>
      <c r="F40" s="23" t="str">
        <f t="shared" si="0"/>
        <v>D902M-ExternalEvent[2]</v>
      </c>
      <c r="G40" s="11" t="s">
        <v>11</v>
      </c>
      <c r="H40" s="4" t="str">
        <f t="shared" si="5"/>
        <v>%Q32.2</v>
      </c>
      <c r="M40" s="137"/>
      <c r="N40" s="87"/>
      <c r="O40" t="s">
        <v>220</v>
      </c>
      <c r="P40" t="s">
        <v>14</v>
      </c>
      <c r="Q40" s="3">
        <v>2</v>
      </c>
    </row>
    <row r="41" spans="1:17">
      <c r="A41" t="str">
        <f>F25</f>
        <v>D902M-ResultsBufferOverrun</v>
      </c>
      <c r="B41" s="1" t="s">
        <v>11</v>
      </c>
      <c r="C41" s="1" t="str">
        <f>H25</f>
        <v>%I531.2</v>
      </c>
      <c r="E41" s="134"/>
      <c r="F41" s="23" t="str">
        <f t="shared" si="0"/>
        <v>D902M-ExternalEvent[3]</v>
      </c>
      <c r="G41" s="11" t="s">
        <v>11</v>
      </c>
      <c r="H41" s="4" t="str">
        <f t="shared" si="5"/>
        <v>%Q32.3</v>
      </c>
      <c r="M41" s="137"/>
      <c r="N41" s="87"/>
      <c r="O41" t="s">
        <v>221</v>
      </c>
      <c r="P41" t="s">
        <v>14</v>
      </c>
      <c r="Q41" s="3">
        <v>3</v>
      </c>
    </row>
    <row r="42" spans="1:17">
      <c r="A42" t="str">
        <f>F33</f>
        <v>D902M-Error</v>
      </c>
      <c r="B42" s="1" t="s">
        <v>11</v>
      </c>
      <c r="C42" s="1" t="str">
        <f>H33</f>
        <v>%I532.7</v>
      </c>
      <c r="E42" s="134"/>
      <c r="F42" s="23" t="str">
        <f t="shared" si="0"/>
        <v>D902M-ExternalEvent[4]</v>
      </c>
      <c r="G42" s="11" t="s">
        <v>11</v>
      </c>
      <c r="H42" s="4" t="str">
        <f t="shared" si="5"/>
        <v>%Q32.4</v>
      </c>
      <c r="M42" s="137"/>
      <c r="N42" s="87"/>
      <c r="O42" t="s">
        <v>222</v>
      </c>
      <c r="P42" t="s">
        <v>14</v>
      </c>
      <c r="Q42" s="3">
        <v>4</v>
      </c>
    </row>
    <row r="43" spans="1:17">
      <c r="A43" t="str">
        <f>F22</f>
        <v>D902M-ClearError</v>
      </c>
      <c r="B43" s="1" t="s">
        <v>11</v>
      </c>
      <c r="C43" s="1" t="str">
        <f>H22</f>
        <v>%Q49.7</v>
      </c>
      <c r="E43" s="134"/>
      <c r="F43" s="23" t="str">
        <f t="shared" si="0"/>
        <v>D902M-ExternalEvent[5]</v>
      </c>
      <c r="G43" s="11" t="s">
        <v>11</v>
      </c>
      <c r="H43" s="4" t="str">
        <f t="shared" si="5"/>
        <v>%Q32.5</v>
      </c>
      <c r="M43" s="137"/>
      <c r="N43" s="87"/>
      <c r="O43" t="s">
        <v>223</v>
      </c>
      <c r="P43" t="s">
        <v>14</v>
      </c>
      <c r="Q43" s="3">
        <v>5</v>
      </c>
    </row>
    <row r="44" spans="1:17">
      <c r="A44" t="str">
        <f>F34</f>
        <v>D902M-ErrorCode</v>
      </c>
      <c r="B44" s="1" t="s">
        <v>87</v>
      </c>
      <c r="C44" s="1" t="str">
        <f>H34</f>
        <v>%IW533</v>
      </c>
      <c r="E44" s="134"/>
      <c r="F44" s="23" t="str">
        <f t="shared" si="0"/>
        <v>D902M-ExternalEvent[6]</v>
      </c>
      <c r="G44" s="11" t="s">
        <v>11</v>
      </c>
      <c r="H44" s="4" t="str">
        <f t="shared" si="5"/>
        <v>%Q32.6</v>
      </c>
      <c r="M44" s="137"/>
      <c r="N44" s="87"/>
      <c r="O44" t="s">
        <v>224</v>
      </c>
      <c r="P44" t="s">
        <v>14</v>
      </c>
      <c r="Q44" s="3">
        <v>6</v>
      </c>
    </row>
    <row r="45" spans="1:17">
      <c r="A45" t="str">
        <f>F21</f>
        <v>D902M-ExecuteCommand/JobLoad</v>
      </c>
      <c r="B45" s="1" t="s">
        <v>11</v>
      </c>
      <c r="C45" s="1" t="str">
        <f>H21</f>
        <v>%Q49.3</v>
      </c>
      <c r="E45" s="135"/>
      <c r="F45" s="23" t="str">
        <f t="shared" si="0"/>
        <v>D902M-ExternalEvent[7]</v>
      </c>
      <c r="G45" s="12" t="s">
        <v>11</v>
      </c>
      <c r="H45" s="20" t="str">
        <f t="shared" si="5"/>
        <v>%Q32.7</v>
      </c>
      <c r="M45" s="137"/>
      <c r="N45" s="87"/>
      <c r="O45" t="s">
        <v>225</v>
      </c>
      <c r="P45" t="s">
        <v>14</v>
      </c>
      <c r="Q45" s="3">
        <v>7</v>
      </c>
    </row>
    <row r="46" spans="1:17">
      <c r="A46" t="str">
        <f>F35</f>
        <v>D902M-CommandID</v>
      </c>
      <c r="B46" s="1" t="s">
        <v>87</v>
      </c>
      <c r="C46" s="1" t="str">
        <f>H35</f>
        <v>%QW504</v>
      </c>
      <c r="E46" s="133" t="s">
        <v>226</v>
      </c>
      <c r="F46" s="23" t="str">
        <f t="shared" si="0"/>
        <v>D902M-ExternalEventAck[0]</v>
      </c>
      <c r="G46" s="10" t="s">
        <v>11</v>
      </c>
      <c r="H46" s="25" t="str">
        <f t="shared" ref="H46:H53" si="6">P46&amp;$B$13&amp;"."&amp;Q46</f>
        <v>%I62.0</v>
      </c>
      <c r="M46" s="137"/>
      <c r="N46" s="11" t="s">
        <v>226</v>
      </c>
      <c r="O46" t="s">
        <v>227</v>
      </c>
      <c r="P46" t="s">
        <v>80</v>
      </c>
      <c r="Q46" s="3">
        <v>0</v>
      </c>
    </row>
    <row r="47" spans="1:17">
      <c r="A47" t="str">
        <f>F36</f>
        <v>D902M-CommandResultCode</v>
      </c>
      <c r="B47" s="1" t="s">
        <v>87</v>
      </c>
      <c r="C47" s="1" t="str">
        <f>H36</f>
        <v>%IW535</v>
      </c>
      <c r="E47" s="134"/>
      <c r="F47" s="23" t="str">
        <f t="shared" si="0"/>
        <v>D902M-ExternalEventAck[1]</v>
      </c>
      <c r="G47" s="11" t="s">
        <v>11</v>
      </c>
      <c r="H47" s="4" t="str">
        <f t="shared" si="6"/>
        <v>%I62.1</v>
      </c>
      <c r="M47" s="137"/>
      <c r="N47" s="11"/>
      <c r="O47" t="s">
        <v>228</v>
      </c>
      <c r="P47" t="s">
        <v>80</v>
      </c>
      <c r="Q47" s="3">
        <v>1</v>
      </c>
    </row>
    <row r="48" spans="1:17">
      <c r="A48" t="str">
        <f>F37</f>
        <v>D902M-Current Job ID</v>
      </c>
      <c r="B48" s="1" t="s">
        <v>87</v>
      </c>
      <c r="C48" s="1" t="str">
        <f>H37</f>
        <v>%IW537</v>
      </c>
      <c r="E48" s="134"/>
      <c r="F48" s="23" t="str">
        <f t="shared" si="0"/>
        <v>D902M-ExternalEventAck[2]</v>
      </c>
      <c r="G48" s="11" t="s">
        <v>11</v>
      </c>
      <c r="H48" s="4" t="str">
        <f t="shared" si="6"/>
        <v>%I62.2</v>
      </c>
      <c r="M48" s="137"/>
      <c r="N48" s="11"/>
      <c r="O48" t="s">
        <v>229</v>
      </c>
      <c r="P48" t="s">
        <v>80</v>
      </c>
      <c r="Q48" s="3">
        <v>2</v>
      </c>
    </row>
    <row r="49" spans="1:17">
      <c r="A49" t="str">
        <f>F27</f>
        <v>D902M-CommandExecuting</v>
      </c>
      <c r="B49" s="1" t="s">
        <v>11</v>
      </c>
      <c r="C49" s="1" t="str">
        <f>H27</f>
        <v>%I531.4</v>
      </c>
      <c r="E49" s="134"/>
      <c r="F49" s="23" t="str">
        <f t="shared" si="0"/>
        <v>D902M-ExternalEventAck[3]</v>
      </c>
      <c r="G49" s="11" t="s">
        <v>11</v>
      </c>
      <c r="H49" s="4" t="str">
        <f t="shared" si="6"/>
        <v>%I62.3</v>
      </c>
      <c r="M49" s="137"/>
      <c r="N49" s="11"/>
      <c r="O49" t="s">
        <v>230</v>
      </c>
      <c r="P49" t="s">
        <v>80</v>
      </c>
      <c r="Q49" s="3">
        <v>3</v>
      </c>
    </row>
    <row r="50" spans="1:17">
      <c r="A50" t="str">
        <f>F28</f>
        <v>D902M-CommandCompleted</v>
      </c>
      <c r="B50" s="1" t="s">
        <v>11</v>
      </c>
      <c r="C50" s="1" t="str">
        <f>H28</f>
        <v>%I531.5</v>
      </c>
      <c r="E50" s="134"/>
      <c r="F50" s="23" t="str">
        <f t="shared" si="0"/>
        <v>D902M-ExternalEventAck[4]</v>
      </c>
      <c r="G50" s="11" t="s">
        <v>11</v>
      </c>
      <c r="H50" s="4" t="str">
        <f t="shared" si="6"/>
        <v>%I62.4</v>
      </c>
      <c r="M50" s="137"/>
      <c r="N50" s="11"/>
      <c r="O50" t="s">
        <v>231</v>
      </c>
      <c r="P50" t="s">
        <v>80</v>
      </c>
      <c r="Q50" s="3">
        <v>4</v>
      </c>
    </row>
    <row r="51" spans="1:17">
      <c r="A51" t="str">
        <f>F29</f>
        <v>D902M-CommandFailed</v>
      </c>
      <c r="B51" s="1" t="s">
        <v>11</v>
      </c>
      <c r="C51" s="1" t="str">
        <f>H29</f>
        <v>%I531.6</v>
      </c>
      <c r="E51" s="134"/>
      <c r="F51" s="23" t="str">
        <f t="shared" si="0"/>
        <v>D902M-ExternalEventAck[5]</v>
      </c>
      <c r="G51" s="11" t="s">
        <v>11</v>
      </c>
      <c r="H51" s="4" t="str">
        <f t="shared" si="6"/>
        <v>%I62.5</v>
      </c>
      <c r="M51" s="137"/>
      <c r="N51" s="11"/>
      <c r="O51" t="s">
        <v>232</v>
      </c>
      <c r="P51" t="s">
        <v>80</v>
      </c>
      <c r="Q51" s="3">
        <v>5</v>
      </c>
    </row>
    <row r="52" spans="1:17">
      <c r="A52" t="str">
        <f>F20</f>
        <v>D902M-SetUserData</v>
      </c>
      <c r="B52" s="1" t="s">
        <v>11</v>
      </c>
      <c r="C52" s="1" t="str">
        <f>H20</f>
        <v>%Q49.2</v>
      </c>
      <c r="E52" s="134"/>
      <c r="F52" s="23" t="str">
        <f t="shared" si="0"/>
        <v>D902M-ExternalEventAck[6]</v>
      </c>
      <c r="G52" s="11" t="s">
        <v>11</v>
      </c>
      <c r="H52" s="4" t="str">
        <f t="shared" si="6"/>
        <v>%I62.6</v>
      </c>
      <c r="M52" s="137"/>
      <c r="N52" s="11"/>
      <c r="O52" t="s">
        <v>233</v>
      </c>
      <c r="P52" t="s">
        <v>80</v>
      </c>
      <c r="Q52" s="3">
        <v>6</v>
      </c>
    </row>
    <row r="53" spans="1:17">
      <c r="A53" t="str">
        <f>F30</f>
        <v>D902M-SetUserDataAck</v>
      </c>
      <c r="B53" s="1" t="s">
        <v>11</v>
      </c>
      <c r="C53" s="1" t="str">
        <f>H30</f>
        <v>%I531.7</v>
      </c>
      <c r="E53" s="135"/>
      <c r="F53" s="23" t="str">
        <f t="shared" si="0"/>
        <v>D902M-ExternalEventAck[7]</v>
      </c>
      <c r="G53" s="12" t="s">
        <v>11</v>
      </c>
      <c r="H53" s="20" t="str">
        <f t="shared" si="6"/>
        <v>%I62.7</v>
      </c>
      <c r="M53" s="137"/>
      <c r="N53" s="11"/>
      <c r="O53" t="s">
        <v>234</v>
      </c>
      <c r="P53" t="s">
        <v>80</v>
      </c>
      <c r="Q53" s="3">
        <v>7</v>
      </c>
    </row>
    <row r="54" spans="1:17">
      <c r="A54" t="str">
        <f t="shared" ref="A54:A69" si="7">F54</f>
        <v>D902M-UserData[0]</v>
      </c>
      <c r="B54" s="1" t="s">
        <v>235</v>
      </c>
      <c r="C54" s="1" t="str">
        <f t="shared" ref="C54:C69" si="8">H54</f>
        <v>%QB506</v>
      </c>
      <c r="D54" t="s">
        <v>236</v>
      </c>
      <c r="E54" s="133" t="s">
        <v>194</v>
      </c>
      <c r="F54" s="23" t="str">
        <f t="shared" si="0"/>
        <v>D902M-UserData[0]</v>
      </c>
      <c r="G54" s="10" t="s">
        <v>235</v>
      </c>
      <c r="H54" s="25" t="str">
        <f t="shared" ref="H54:H87" si="9">P54&amp;Q54</f>
        <v>%QB506</v>
      </c>
      <c r="M54" s="137"/>
      <c r="N54" s="87" t="s">
        <v>194</v>
      </c>
      <c r="O54" t="s">
        <v>237</v>
      </c>
      <c r="P54" t="s">
        <v>238</v>
      </c>
      <c r="Q54">
        <f>$B$14</f>
        <v>506</v>
      </c>
    </row>
    <row r="55" spans="1:17">
      <c r="A55" t="str">
        <f t="shared" si="7"/>
        <v>D902M-UserData[1]</v>
      </c>
      <c r="B55" s="1" t="s">
        <v>235</v>
      </c>
      <c r="C55" s="1" t="str">
        <f t="shared" si="8"/>
        <v>%QB507</v>
      </c>
      <c r="E55" s="134"/>
      <c r="F55" s="23" t="str">
        <f t="shared" si="0"/>
        <v>D902M-UserData[1]</v>
      </c>
      <c r="G55" s="11" t="s">
        <v>235</v>
      </c>
      <c r="H55" s="4" t="str">
        <f t="shared" si="9"/>
        <v>%QB507</v>
      </c>
      <c r="M55" s="137"/>
      <c r="N55" s="11"/>
      <c r="O55" t="s">
        <v>239</v>
      </c>
      <c r="P55" t="s">
        <v>238</v>
      </c>
      <c r="Q55">
        <f>SUM(Q54+1)</f>
        <v>507</v>
      </c>
    </row>
    <row r="56" spans="1:17">
      <c r="A56" t="str">
        <f t="shared" si="7"/>
        <v>D902M-UserData[2]</v>
      </c>
      <c r="B56" s="1" t="s">
        <v>235</v>
      </c>
      <c r="C56" s="1" t="str">
        <f t="shared" si="8"/>
        <v>%QB508</v>
      </c>
      <c r="E56" s="134"/>
      <c r="F56" s="23" t="str">
        <f t="shared" si="0"/>
        <v>D902M-UserData[2]</v>
      </c>
      <c r="G56" s="11" t="s">
        <v>235</v>
      </c>
      <c r="H56" s="4" t="str">
        <f t="shared" si="9"/>
        <v>%QB508</v>
      </c>
      <c r="M56" s="137"/>
      <c r="N56" s="11"/>
      <c r="O56" t="s">
        <v>240</v>
      </c>
      <c r="P56" t="s">
        <v>238</v>
      </c>
      <c r="Q56">
        <f t="shared" ref="Q56:Q69" si="10">SUM(Q55+1)</f>
        <v>508</v>
      </c>
    </row>
    <row r="57" spans="1:17">
      <c r="A57" t="str">
        <f t="shared" si="7"/>
        <v>D902M-UserData[3]</v>
      </c>
      <c r="B57" s="1" t="s">
        <v>235</v>
      </c>
      <c r="C57" s="1" t="str">
        <f t="shared" si="8"/>
        <v>%QB509</v>
      </c>
      <c r="E57" s="134"/>
      <c r="F57" s="23" t="str">
        <f t="shared" si="0"/>
        <v>D902M-UserData[3]</v>
      </c>
      <c r="G57" s="11" t="s">
        <v>235</v>
      </c>
      <c r="H57" s="4" t="str">
        <f t="shared" si="9"/>
        <v>%QB509</v>
      </c>
      <c r="M57" s="137"/>
      <c r="N57" s="11"/>
      <c r="O57" t="s">
        <v>241</v>
      </c>
      <c r="P57" t="s">
        <v>238</v>
      </c>
      <c r="Q57">
        <f t="shared" si="10"/>
        <v>509</v>
      </c>
    </row>
    <row r="58" spans="1:17">
      <c r="A58" t="str">
        <f t="shared" si="7"/>
        <v>D902M-UserData[4]</v>
      </c>
      <c r="B58" s="1" t="s">
        <v>235</v>
      </c>
      <c r="C58" s="1" t="str">
        <f t="shared" si="8"/>
        <v>%QB510</v>
      </c>
      <c r="E58" s="134"/>
      <c r="F58" s="23" t="str">
        <f t="shared" si="0"/>
        <v>D902M-UserData[4]</v>
      </c>
      <c r="G58" s="11" t="s">
        <v>235</v>
      </c>
      <c r="H58" s="4" t="str">
        <f t="shared" si="9"/>
        <v>%QB510</v>
      </c>
      <c r="M58" s="137"/>
      <c r="N58" s="11"/>
      <c r="O58" t="s">
        <v>242</v>
      </c>
      <c r="P58" t="s">
        <v>238</v>
      </c>
      <c r="Q58">
        <f t="shared" si="10"/>
        <v>510</v>
      </c>
    </row>
    <row r="59" spans="1:17">
      <c r="A59" t="str">
        <f t="shared" si="7"/>
        <v>D902M-UserData[5]</v>
      </c>
      <c r="B59" s="1" t="s">
        <v>235</v>
      </c>
      <c r="C59" s="1" t="str">
        <f t="shared" si="8"/>
        <v>%QB511</v>
      </c>
      <c r="E59" s="134"/>
      <c r="F59" s="23" t="str">
        <f t="shared" si="0"/>
        <v>D902M-UserData[5]</v>
      </c>
      <c r="G59" s="11" t="s">
        <v>235</v>
      </c>
      <c r="H59" s="4" t="str">
        <f t="shared" si="9"/>
        <v>%QB511</v>
      </c>
      <c r="M59" s="137"/>
      <c r="N59" s="11"/>
      <c r="O59" t="s">
        <v>243</v>
      </c>
      <c r="P59" t="s">
        <v>238</v>
      </c>
      <c r="Q59">
        <f t="shared" si="10"/>
        <v>511</v>
      </c>
    </row>
    <row r="60" spans="1:17">
      <c r="A60" t="str">
        <f t="shared" si="7"/>
        <v>D902M-UserData[6]</v>
      </c>
      <c r="B60" s="1" t="s">
        <v>235</v>
      </c>
      <c r="C60" s="1" t="str">
        <f t="shared" si="8"/>
        <v>%QB512</v>
      </c>
      <c r="E60" s="134"/>
      <c r="F60" s="23" t="str">
        <f t="shared" si="0"/>
        <v>D902M-UserData[6]</v>
      </c>
      <c r="G60" s="11" t="s">
        <v>235</v>
      </c>
      <c r="H60" s="4" t="str">
        <f t="shared" si="9"/>
        <v>%QB512</v>
      </c>
      <c r="M60" s="137"/>
      <c r="N60" s="11"/>
      <c r="O60" t="s">
        <v>244</v>
      </c>
      <c r="P60" t="s">
        <v>238</v>
      </c>
      <c r="Q60">
        <f t="shared" si="10"/>
        <v>512</v>
      </c>
    </row>
    <row r="61" spans="1:17">
      <c r="A61" t="str">
        <f t="shared" si="7"/>
        <v>D902M-UserData[7]</v>
      </c>
      <c r="B61" s="1" t="s">
        <v>235</v>
      </c>
      <c r="C61" s="1" t="str">
        <f t="shared" si="8"/>
        <v>%QB513</v>
      </c>
      <c r="E61" s="134"/>
      <c r="F61" s="23" t="str">
        <f t="shared" si="0"/>
        <v>D902M-UserData[7]</v>
      </c>
      <c r="G61" s="11" t="s">
        <v>235</v>
      </c>
      <c r="H61" s="4" t="str">
        <f t="shared" si="9"/>
        <v>%QB513</v>
      </c>
      <c r="M61" s="137"/>
      <c r="N61" s="11"/>
      <c r="O61" t="s">
        <v>245</v>
      </c>
      <c r="P61" t="s">
        <v>238</v>
      </c>
      <c r="Q61">
        <f t="shared" si="10"/>
        <v>513</v>
      </c>
    </row>
    <row r="62" spans="1:17">
      <c r="A62" t="str">
        <f t="shared" si="7"/>
        <v>D902M-UserData[8]</v>
      </c>
      <c r="B62" s="1" t="s">
        <v>235</v>
      </c>
      <c r="C62" s="1" t="str">
        <f t="shared" si="8"/>
        <v>%QB514</v>
      </c>
      <c r="E62" s="134"/>
      <c r="F62" s="23" t="str">
        <f t="shared" si="0"/>
        <v>D902M-UserData[8]</v>
      </c>
      <c r="G62" s="11" t="s">
        <v>235</v>
      </c>
      <c r="H62" s="4" t="str">
        <f t="shared" si="9"/>
        <v>%QB514</v>
      </c>
      <c r="M62" s="137"/>
      <c r="N62" s="11"/>
      <c r="O62" t="s">
        <v>246</v>
      </c>
      <c r="P62" t="s">
        <v>238</v>
      </c>
      <c r="Q62">
        <f t="shared" si="10"/>
        <v>514</v>
      </c>
    </row>
    <row r="63" spans="1:17">
      <c r="A63" t="str">
        <f t="shared" si="7"/>
        <v>D902M-UserData[9]</v>
      </c>
      <c r="B63" s="1" t="s">
        <v>235</v>
      </c>
      <c r="C63" s="1" t="str">
        <f t="shared" si="8"/>
        <v>%QB515</v>
      </c>
      <c r="E63" s="134"/>
      <c r="F63" s="23" t="str">
        <f t="shared" si="0"/>
        <v>D902M-UserData[9]</v>
      </c>
      <c r="G63" s="11" t="s">
        <v>235</v>
      </c>
      <c r="H63" s="4" t="str">
        <f t="shared" si="9"/>
        <v>%QB515</v>
      </c>
      <c r="M63" s="137"/>
      <c r="N63" s="11"/>
      <c r="O63" t="s">
        <v>247</v>
      </c>
      <c r="P63" t="s">
        <v>238</v>
      </c>
      <c r="Q63">
        <f t="shared" si="10"/>
        <v>515</v>
      </c>
    </row>
    <row r="64" spans="1:17">
      <c r="A64" t="str">
        <f t="shared" si="7"/>
        <v>D902M-UserData[10]</v>
      </c>
      <c r="B64" s="1" t="s">
        <v>235</v>
      </c>
      <c r="C64" s="1" t="str">
        <f t="shared" si="8"/>
        <v>%QB516</v>
      </c>
      <c r="E64" s="134"/>
      <c r="F64" s="23" t="str">
        <f t="shared" si="0"/>
        <v>D902M-UserData[10]</v>
      </c>
      <c r="G64" s="11" t="s">
        <v>235</v>
      </c>
      <c r="H64" s="4" t="str">
        <f t="shared" si="9"/>
        <v>%QB516</v>
      </c>
      <c r="M64" s="137"/>
      <c r="N64" s="11"/>
      <c r="O64" t="s">
        <v>248</v>
      </c>
      <c r="P64" t="s">
        <v>238</v>
      </c>
      <c r="Q64">
        <f t="shared" si="10"/>
        <v>516</v>
      </c>
    </row>
    <row r="65" spans="1:17">
      <c r="A65" t="str">
        <f t="shared" si="7"/>
        <v>D902M-UserData[11]</v>
      </c>
      <c r="B65" s="1" t="s">
        <v>235</v>
      </c>
      <c r="C65" s="1" t="str">
        <f t="shared" si="8"/>
        <v>%QB517</v>
      </c>
      <c r="E65" s="134"/>
      <c r="F65" s="23" t="str">
        <f t="shared" si="0"/>
        <v>D902M-UserData[11]</v>
      </c>
      <c r="G65" s="11" t="s">
        <v>235</v>
      </c>
      <c r="H65" s="4" t="str">
        <f t="shared" si="9"/>
        <v>%QB517</v>
      </c>
      <c r="M65" s="137"/>
      <c r="N65" s="11"/>
      <c r="O65" t="s">
        <v>249</v>
      </c>
      <c r="P65" t="s">
        <v>238</v>
      </c>
      <c r="Q65">
        <f t="shared" si="10"/>
        <v>517</v>
      </c>
    </row>
    <row r="66" spans="1:17">
      <c r="A66" t="str">
        <f t="shared" si="7"/>
        <v>D902M-UserData[12]</v>
      </c>
      <c r="B66" s="1" t="s">
        <v>235</v>
      </c>
      <c r="C66" s="1" t="str">
        <f t="shared" si="8"/>
        <v>%QB518</v>
      </c>
      <c r="E66" s="134"/>
      <c r="F66" s="23" t="str">
        <f t="shared" si="0"/>
        <v>D902M-UserData[12]</v>
      </c>
      <c r="G66" s="11" t="s">
        <v>235</v>
      </c>
      <c r="H66" s="4" t="str">
        <f t="shared" si="9"/>
        <v>%QB518</v>
      </c>
      <c r="M66" s="137"/>
      <c r="N66" s="11"/>
      <c r="O66" t="s">
        <v>250</v>
      </c>
      <c r="P66" t="s">
        <v>238</v>
      </c>
      <c r="Q66">
        <f t="shared" si="10"/>
        <v>518</v>
      </c>
    </row>
    <row r="67" spans="1:17">
      <c r="A67" t="str">
        <f t="shared" si="7"/>
        <v>D902M-UserData[13]</v>
      </c>
      <c r="B67" s="1" t="s">
        <v>235</v>
      </c>
      <c r="C67" s="1" t="str">
        <f t="shared" si="8"/>
        <v>%QB519</v>
      </c>
      <c r="E67" s="134"/>
      <c r="F67" s="23" t="str">
        <f t="shared" si="0"/>
        <v>D902M-UserData[13]</v>
      </c>
      <c r="G67" s="11" t="s">
        <v>235</v>
      </c>
      <c r="H67" s="4" t="str">
        <f t="shared" si="9"/>
        <v>%QB519</v>
      </c>
      <c r="M67" s="137"/>
      <c r="N67" s="11"/>
      <c r="O67" t="s">
        <v>251</v>
      </c>
      <c r="P67" t="s">
        <v>238</v>
      </c>
      <c r="Q67">
        <f t="shared" si="10"/>
        <v>519</v>
      </c>
    </row>
    <row r="68" spans="1:17">
      <c r="A68" t="str">
        <f t="shared" si="7"/>
        <v>D902M-UserData[14]</v>
      </c>
      <c r="B68" s="1" t="s">
        <v>235</v>
      </c>
      <c r="C68" s="1" t="str">
        <f t="shared" si="8"/>
        <v>%QB520</v>
      </c>
      <c r="E68" s="134"/>
      <c r="F68" s="23" t="str">
        <f t="shared" si="0"/>
        <v>D902M-UserData[14]</v>
      </c>
      <c r="G68" s="11" t="s">
        <v>235</v>
      </c>
      <c r="H68" s="4" t="str">
        <f t="shared" si="9"/>
        <v>%QB520</v>
      </c>
      <c r="M68" s="137"/>
      <c r="N68" s="11"/>
      <c r="O68" t="s">
        <v>252</v>
      </c>
      <c r="P68" t="s">
        <v>238</v>
      </c>
      <c r="Q68">
        <f t="shared" si="10"/>
        <v>520</v>
      </c>
    </row>
    <row r="69" spans="1:17">
      <c r="A69" t="str">
        <f t="shared" si="7"/>
        <v>D902M-UserData[15]</v>
      </c>
      <c r="B69" s="1" t="s">
        <v>235</v>
      </c>
      <c r="C69" s="1" t="str">
        <f t="shared" si="8"/>
        <v>%QB521</v>
      </c>
      <c r="E69" s="135"/>
      <c r="F69" s="23" t="str">
        <f t="shared" si="0"/>
        <v>D902M-UserData[15]</v>
      </c>
      <c r="G69" s="12" t="s">
        <v>235</v>
      </c>
      <c r="H69" s="20" t="str">
        <f t="shared" si="9"/>
        <v>%QB521</v>
      </c>
      <c r="M69" s="137"/>
      <c r="N69" s="11"/>
      <c r="O69" t="s">
        <v>253</v>
      </c>
      <c r="P69" t="s">
        <v>238</v>
      </c>
      <c r="Q69">
        <f t="shared" si="10"/>
        <v>521</v>
      </c>
    </row>
    <row r="70" spans="1:17">
      <c r="A70" t="str">
        <f>F38</f>
        <v>D902M-ExternalEvent[0]</v>
      </c>
      <c r="B70" s="1" t="s">
        <v>11</v>
      </c>
      <c r="C70" s="1" t="str">
        <f>H38</f>
        <v>%Q32.0</v>
      </c>
      <c r="E70" s="134" t="s">
        <v>195</v>
      </c>
      <c r="F70" s="23" t="str">
        <f t="shared" ref="F70:F77" si="11">$B$2&amp;"-"&amp;O70</f>
        <v>D902M-InspectionID</v>
      </c>
      <c r="G70" s="11" t="s">
        <v>87</v>
      </c>
      <c r="H70" s="4" t="str">
        <f t="shared" si="9"/>
        <v>%IW539</v>
      </c>
      <c r="M70" s="137"/>
      <c r="N70" s="87" t="s">
        <v>195</v>
      </c>
      <c r="O70" t="s">
        <v>254</v>
      </c>
      <c r="P70" t="s">
        <v>89</v>
      </c>
      <c r="Q70">
        <f>$B$15</f>
        <v>539</v>
      </c>
    </row>
    <row r="71" spans="1:17">
      <c r="A71" t="str">
        <f>F46</f>
        <v>D902M-ExternalEventAck[0]</v>
      </c>
      <c r="B71" s="1" t="s">
        <v>11</v>
      </c>
      <c r="C71" s="1" t="str">
        <f>H46</f>
        <v>%I62.0</v>
      </c>
      <c r="E71" s="134"/>
      <c r="F71" s="23" t="str">
        <f t="shared" si="11"/>
        <v>D902M-InspectionResultsCode</v>
      </c>
      <c r="G71" s="11" t="s">
        <v>22</v>
      </c>
      <c r="H71" s="4" t="str">
        <f t="shared" si="9"/>
        <v>%IW541</v>
      </c>
      <c r="M71" s="137"/>
      <c r="N71" s="11"/>
      <c r="O71" t="s">
        <v>255</v>
      </c>
      <c r="P71" t="s">
        <v>89</v>
      </c>
      <c r="Q71">
        <f>SUM($B$15+2)</f>
        <v>541</v>
      </c>
    </row>
    <row r="72" spans="1:17">
      <c r="A72" t="str">
        <f>F39</f>
        <v>D902M-ExternalEvent[1]</v>
      </c>
      <c r="B72" s="1" t="s">
        <v>11</v>
      </c>
      <c r="C72" s="1" t="str">
        <f>H39</f>
        <v>%Q32.1</v>
      </c>
      <c r="E72" s="134"/>
      <c r="F72" s="23" t="str">
        <f t="shared" si="11"/>
        <v>D902M-InspectionResults[0]</v>
      </c>
      <c r="G72" s="11" t="s">
        <v>235</v>
      </c>
      <c r="H72" s="4" t="str">
        <f t="shared" si="9"/>
        <v>%IB543</v>
      </c>
      <c r="M72" s="137"/>
      <c r="N72" s="11"/>
      <c r="O72" t="s">
        <v>256</v>
      </c>
      <c r="P72" t="s">
        <v>257</v>
      </c>
      <c r="Q72">
        <f>SUM(Q71+2)</f>
        <v>543</v>
      </c>
    </row>
    <row r="73" spans="1:17">
      <c r="A73" t="str">
        <f>F47</f>
        <v>D902M-ExternalEventAck[1]</v>
      </c>
      <c r="B73" s="1" t="s">
        <v>11</v>
      </c>
      <c r="C73" s="1" t="str">
        <f>H47</f>
        <v>%I62.1</v>
      </c>
      <c r="E73" s="134"/>
      <c r="F73" s="23" t="str">
        <f t="shared" si="11"/>
        <v>D902M-InspectionResults[1]</v>
      </c>
      <c r="G73" s="11" t="s">
        <v>235</v>
      </c>
      <c r="H73" s="4" t="str">
        <f t="shared" si="9"/>
        <v>%IB544</v>
      </c>
      <c r="M73" s="137"/>
      <c r="N73" s="11"/>
      <c r="O73" t="s">
        <v>258</v>
      </c>
      <c r="P73" t="s">
        <v>257</v>
      </c>
      <c r="Q73">
        <f t="shared" ref="Q73:Q87" si="12">SUM(Q72+1)</f>
        <v>544</v>
      </c>
    </row>
    <row r="74" spans="1:17">
      <c r="A74" t="str">
        <f>F40</f>
        <v>D902M-ExternalEvent[2]</v>
      </c>
      <c r="B74" s="1" t="s">
        <v>11</v>
      </c>
      <c r="C74" s="1" t="str">
        <f>H40</f>
        <v>%Q32.2</v>
      </c>
      <c r="E74" s="134"/>
      <c r="F74" s="23" t="str">
        <f t="shared" si="11"/>
        <v>D902M-InspectionResults[2]</v>
      </c>
      <c r="G74" s="11" t="s">
        <v>235</v>
      </c>
      <c r="H74" s="4" t="str">
        <f t="shared" si="9"/>
        <v>%IB545</v>
      </c>
      <c r="M74" s="137"/>
      <c r="N74" s="11"/>
      <c r="O74" t="s">
        <v>259</v>
      </c>
      <c r="P74" t="s">
        <v>257</v>
      </c>
      <c r="Q74">
        <f t="shared" si="12"/>
        <v>545</v>
      </c>
    </row>
    <row r="75" spans="1:17">
      <c r="A75" t="str">
        <f>F48</f>
        <v>D902M-ExternalEventAck[2]</v>
      </c>
      <c r="B75" s="1" t="s">
        <v>11</v>
      </c>
      <c r="C75" s="1" t="str">
        <f>H48</f>
        <v>%I62.2</v>
      </c>
      <c r="E75" s="134"/>
      <c r="F75" s="23" t="str">
        <f t="shared" si="11"/>
        <v>D902M-InspectionResults[3]</v>
      </c>
      <c r="G75" s="11" t="s">
        <v>235</v>
      </c>
      <c r="H75" s="4" t="str">
        <f t="shared" si="9"/>
        <v>%IB546</v>
      </c>
      <c r="M75" s="137"/>
      <c r="N75" s="11"/>
      <c r="O75" t="s">
        <v>260</v>
      </c>
      <c r="P75" t="s">
        <v>257</v>
      </c>
      <c r="Q75">
        <f t="shared" si="12"/>
        <v>546</v>
      </c>
    </row>
    <row r="76" spans="1:17">
      <c r="A76" t="str">
        <f>F41</f>
        <v>D902M-ExternalEvent[3]</v>
      </c>
      <c r="B76" s="1" t="s">
        <v>11</v>
      </c>
      <c r="C76" s="1" t="str">
        <f>H41</f>
        <v>%Q32.3</v>
      </c>
      <c r="E76" s="134"/>
      <c r="F76" s="23" t="str">
        <f t="shared" si="11"/>
        <v>D902M-InspectionResults[4]</v>
      </c>
      <c r="G76" s="11" t="s">
        <v>235</v>
      </c>
      <c r="H76" s="4" t="str">
        <f t="shared" si="9"/>
        <v>%IB547</v>
      </c>
      <c r="M76" s="29"/>
      <c r="N76" s="11"/>
      <c r="O76" t="s">
        <v>261</v>
      </c>
      <c r="P76" t="s">
        <v>257</v>
      </c>
      <c r="Q76">
        <f t="shared" si="12"/>
        <v>547</v>
      </c>
    </row>
    <row r="77" spans="1:17">
      <c r="A77" t="str">
        <f>F49</f>
        <v>D902M-ExternalEventAck[3]</v>
      </c>
      <c r="B77" s="1" t="s">
        <v>11</v>
      </c>
      <c r="C77" s="1" t="str">
        <f>H49</f>
        <v>%I62.3</v>
      </c>
      <c r="E77" s="134"/>
      <c r="F77" s="23" t="str">
        <f t="shared" si="11"/>
        <v>D902M-InspectionResults[5]</v>
      </c>
      <c r="G77" s="11" t="s">
        <v>235</v>
      </c>
      <c r="H77" s="4" t="str">
        <f t="shared" si="9"/>
        <v>%IB548</v>
      </c>
      <c r="N77" s="11"/>
      <c r="O77" t="s">
        <v>262</v>
      </c>
      <c r="P77" t="s">
        <v>257</v>
      </c>
      <c r="Q77">
        <f t="shared" si="12"/>
        <v>548</v>
      </c>
    </row>
    <row r="78" spans="1:17">
      <c r="A78" t="str">
        <f>F42</f>
        <v>D902M-ExternalEvent[4]</v>
      </c>
      <c r="B78" s="1" t="s">
        <v>11</v>
      </c>
      <c r="C78" s="1" t="str">
        <f>H42</f>
        <v>%Q32.4</v>
      </c>
      <c r="E78" s="134"/>
      <c r="F78" t="str">
        <f t="shared" ref="F78:F87" si="13">$B$2&amp;"-"&amp;O78</f>
        <v>D902M-InspectionResults[6]</v>
      </c>
      <c r="G78" s="11" t="s">
        <v>235</v>
      </c>
      <c r="H78" s="4" t="str">
        <f t="shared" si="9"/>
        <v>%IB549</v>
      </c>
      <c r="N78" s="11"/>
      <c r="O78" t="s">
        <v>263</v>
      </c>
      <c r="P78" t="s">
        <v>257</v>
      </c>
      <c r="Q78">
        <f t="shared" si="12"/>
        <v>549</v>
      </c>
    </row>
    <row r="79" spans="1:17">
      <c r="A79" t="str">
        <f>F50</f>
        <v>D902M-ExternalEventAck[4]</v>
      </c>
      <c r="B79" s="1" t="s">
        <v>11</v>
      </c>
      <c r="C79" s="1" t="str">
        <f>H50</f>
        <v>%I62.4</v>
      </c>
      <c r="E79" s="134"/>
      <c r="F79" t="str">
        <f t="shared" si="13"/>
        <v>D902M-InspectionResults[7]</v>
      </c>
      <c r="G79" s="11" t="s">
        <v>235</v>
      </c>
      <c r="H79" s="4" t="str">
        <f t="shared" si="9"/>
        <v>%IB550</v>
      </c>
      <c r="N79" s="11"/>
      <c r="O79" t="s">
        <v>264</v>
      </c>
      <c r="P79" t="s">
        <v>257</v>
      </c>
      <c r="Q79">
        <f t="shared" si="12"/>
        <v>550</v>
      </c>
    </row>
    <row r="80" spans="1:17">
      <c r="A80" t="str">
        <f>F43</f>
        <v>D902M-ExternalEvent[5]</v>
      </c>
      <c r="B80" s="1" t="s">
        <v>11</v>
      </c>
      <c r="C80" s="1" t="str">
        <f>H43</f>
        <v>%Q32.5</v>
      </c>
      <c r="E80" s="134"/>
      <c r="F80" t="str">
        <f t="shared" si="13"/>
        <v>D902M-InspectionResults[8]</v>
      </c>
      <c r="G80" s="11" t="s">
        <v>235</v>
      </c>
      <c r="H80" s="4" t="str">
        <f t="shared" si="9"/>
        <v>%IB551</v>
      </c>
      <c r="N80" s="11"/>
      <c r="O80" t="s">
        <v>265</v>
      </c>
      <c r="P80" t="s">
        <v>257</v>
      </c>
      <c r="Q80">
        <f t="shared" si="12"/>
        <v>551</v>
      </c>
    </row>
    <row r="81" spans="1:17">
      <c r="A81" t="str">
        <f>F51</f>
        <v>D902M-ExternalEventAck[5]</v>
      </c>
      <c r="B81" s="1" t="s">
        <v>11</v>
      </c>
      <c r="C81" s="1" t="str">
        <f>H51</f>
        <v>%I62.5</v>
      </c>
      <c r="E81" s="134"/>
      <c r="F81" t="str">
        <f t="shared" si="13"/>
        <v>D902M-InspectionResults[9]</v>
      </c>
      <c r="G81" s="11" t="s">
        <v>235</v>
      </c>
      <c r="H81" s="4" t="str">
        <f t="shared" si="9"/>
        <v>%IB552</v>
      </c>
      <c r="N81" s="11"/>
      <c r="O81" t="s">
        <v>266</v>
      </c>
      <c r="P81" t="s">
        <v>257</v>
      </c>
      <c r="Q81">
        <f t="shared" si="12"/>
        <v>552</v>
      </c>
    </row>
    <row r="82" spans="1:17">
      <c r="A82" t="str">
        <f>F44</f>
        <v>D902M-ExternalEvent[6]</v>
      </c>
      <c r="B82" s="1" t="s">
        <v>11</v>
      </c>
      <c r="C82" s="1" t="str">
        <f>H44</f>
        <v>%Q32.6</v>
      </c>
      <c r="E82" s="134"/>
      <c r="F82" t="str">
        <f t="shared" si="13"/>
        <v>D902M-InspectionResults[10]</v>
      </c>
      <c r="G82" s="11" t="s">
        <v>235</v>
      </c>
      <c r="H82" s="4" t="str">
        <f t="shared" si="9"/>
        <v>%IB553</v>
      </c>
      <c r="N82" s="11"/>
      <c r="O82" t="s">
        <v>267</v>
      </c>
      <c r="P82" t="s">
        <v>257</v>
      </c>
      <c r="Q82">
        <f t="shared" si="12"/>
        <v>553</v>
      </c>
    </row>
    <row r="83" spans="1:17">
      <c r="A83" t="str">
        <f>F52</f>
        <v>D902M-ExternalEventAck[6]</v>
      </c>
      <c r="B83" s="1" t="s">
        <v>11</v>
      </c>
      <c r="C83" s="1" t="str">
        <f>H52</f>
        <v>%I62.6</v>
      </c>
      <c r="E83" s="134"/>
      <c r="F83" t="str">
        <f t="shared" si="13"/>
        <v>D902M-InspectionResults[11]</v>
      </c>
      <c r="G83" s="11" t="s">
        <v>235</v>
      </c>
      <c r="H83" s="4" t="str">
        <f t="shared" si="9"/>
        <v>%IB554</v>
      </c>
      <c r="N83" s="11"/>
      <c r="O83" t="s">
        <v>268</v>
      </c>
      <c r="P83" t="s">
        <v>257</v>
      </c>
      <c r="Q83">
        <f t="shared" si="12"/>
        <v>554</v>
      </c>
    </row>
    <row r="84" spans="1:17">
      <c r="A84" t="str">
        <f>F45</f>
        <v>D902M-ExternalEvent[7]</v>
      </c>
      <c r="B84" s="1" t="s">
        <v>11</v>
      </c>
      <c r="C84" s="1" t="str">
        <f>H45</f>
        <v>%Q32.7</v>
      </c>
      <c r="E84" s="134"/>
      <c r="F84" t="str">
        <f t="shared" si="13"/>
        <v>D902M-InspectionResults[12]</v>
      </c>
      <c r="G84" s="11" t="s">
        <v>235</v>
      </c>
      <c r="H84" s="4" t="str">
        <f t="shared" si="9"/>
        <v>%IB555</v>
      </c>
      <c r="N84" s="11"/>
      <c r="O84" t="s">
        <v>269</v>
      </c>
      <c r="P84" t="s">
        <v>257</v>
      </c>
      <c r="Q84">
        <f t="shared" si="12"/>
        <v>555</v>
      </c>
    </row>
    <row r="85" spans="1:17">
      <c r="A85" t="str">
        <f>F53</f>
        <v>D902M-ExternalEventAck[7]</v>
      </c>
      <c r="B85" s="1" t="s">
        <v>11</v>
      </c>
      <c r="C85" s="1" t="str">
        <f>H53</f>
        <v>%I62.7</v>
      </c>
      <c r="E85" s="134"/>
      <c r="F85" t="str">
        <f t="shared" si="13"/>
        <v>D902M-InspectionResults[13]</v>
      </c>
      <c r="G85" s="11" t="s">
        <v>235</v>
      </c>
      <c r="H85" s="4" t="str">
        <f t="shared" si="9"/>
        <v>%IB556</v>
      </c>
      <c r="N85" s="11"/>
      <c r="O85" t="s">
        <v>270</v>
      </c>
      <c r="P85" t="s">
        <v>257</v>
      </c>
      <c r="Q85">
        <f t="shared" si="12"/>
        <v>556</v>
      </c>
    </row>
    <row r="86" spans="1:17">
      <c r="A86" t="str">
        <f t="shared" ref="A86:A103" si="14">F70</f>
        <v>D902M-InspectionID</v>
      </c>
      <c r="B86" s="1" t="s">
        <v>87</v>
      </c>
      <c r="C86" s="1" t="str">
        <f t="shared" ref="C86:C103" si="15">H70</f>
        <v>%IW539</v>
      </c>
      <c r="E86" s="134"/>
      <c r="F86" t="str">
        <f t="shared" si="13"/>
        <v>D902M-InspectionResults[14]</v>
      </c>
      <c r="G86" s="11" t="s">
        <v>235</v>
      </c>
      <c r="H86" s="4" t="str">
        <f t="shared" si="9"/>
        <v>%IB557</v>
      </c>
      <c r="O86" t="s">
        <v>271</v>
      </c>
      <c r="P86" t="s">
        <v>257</v>
      </c>
      <c r="Q86">
        <f t="shared" si="12"/>
        <v>557</v>
      </c>
    </row>
    <row r="87" spans="1:17" ht="15" thickBot="1">
      <c r="A87" t="str">
        <f t="shared" si="14"/>
        <v>D902M-InspectionResultsCode</v>
      </c>
      <c r="B87" s="1" t="s">
        <v>22</v>
      </c>
      <c r="C87" s="1" t="str">
        <f t="shared" si="15"/>
        <v>%IW541</v>
      </c>
      <c r="E87" s="144"/>
      <c r="F87" s="5" t="str">
        <f t="shared" si="13"/>
        <v>D902M-InspectionResults[15]</v>
      </c>
      <c r="G87" s="13" t="s">
        <v>235</v>
      </c>
      <c r="H87" s="2" t="str">
        <f t="shared" si="9"/>
        <v>%IB558</v>
      </c>
      <c r="O87" t="s">
        <v>272</v>
      </c>
      <c r="P87" t="s">
        <v>257</v>
      </c>
      <c r="Q87">
        <f t="shared" si="12"/>
        <v>558</v>
      </c>
    </row>
    <row r="88" spans="1:17">
      <c r="A88" t="str">
        <f t="shared" si="14"/>
        <v>D902M-InspectionResults[0]</v>
      </c>
      <c r="B88" s="1" t="s">
        <v>235</v>
      </c>
      <c r="C88" s="1" t="str">
        <f t="shared" si="15"/>
        <v>%IB543</v>
      </c>
    </row>
    <row r="89" spans="1:17">
      <c r="A89" t="str">
        <f t="shared" si="14"/>
        <v>D902M-InspectionResults[1]</v>
      </c>
      <c r="B89" s="1" t="s">
        <v>235</v>
      </c>
      <c r="C89" s="1" t="str">
        <f t="shared" si="15"/>
        <v>%IB544</v>
      </c>
    </row>
    <row r="90" spans="1:17">
      <c r="A90" t="str">
        <f t="shared" si="14"/>
        <v>D902M-InspectionResults[2]</v>
      </c>
      <c r="B90" s="1" t="s">
        <v>235</v>
      </c>
      <c r="C90" s="1" t="str">
        <f t="shared" si="15"/>
        <v>%IB545</v>
      </c>
    </row>
    <row r="91" spans="1:17">
      <c r="A91" t="str">
        <f t="shared" si="14"/>
        <v>D902M-InspectionResults[3]</v>
      </c>
      <c r="B91" s="1" t="s">
        <v>235</v>
      </c>
      <c r="C91" s="1" t="str">
        <f t="shared" si="15"/>
        <v>%IB546</v>
      </c>
    </row>
    <row r="92" spans="1:17">
      <c r="A92" t="str">
        <f t="shared" si="14"/>
        <v>D902M-InspectionResults[4]</v>
      </c>
      <c r="B92" s="1" t="s">
        <v>235</v>
      </c>
      <c r="C92" s="1" t="str">
        <f t="shared" si="15"/>
        <v>%IB547</v>
      </c>
    </row>
    <row r="93" spans="1:17">
      <c r="A93" t="str">
        <f t="shared" si="14"/>
        <v>D902M-InspectionResults[5]</v>
      </c>
      <c r="B93" s="1" t="s">
        <v>235</v>
      </c>
      <c r="C93" s="1" t="str">
        <f t="shared" si="15"/>
        <v>%IB548</v>
      </c>
    </row>
    <row r="94" spans="1:17">
      <c r="A94" t="str">
        <f t="shared" si="14"/>
        <v>D902M-InspectionResults[6]</v>
      </c>
      <c r="B94" s="1" t="s">
        <v>235</v>
      </c>
      <c r="C94" s="1" t="str">
        <f t="shared" si="15"/>
        <v>%IB549</v>
      </c>
    </row>
    <row r="95" spans="1:17">
      <c r="A95" t="str">
        <f t="shared" si="14"/>
        <v>D902M-InspectionResults[7]</v>
      </c>
      <c r="B95" s="1" t="s">
        <v>235</v>
      </c>
      <c r="C95" s="1" t="str">
        <f t="shared" si="15"/>
        <v>%IB550</v>
      </c>
    </row>
    <row r="96" spans="1:17">
      <c r="A96" t="str">
        <f t="shared" si="14"/>
        <v>D902M-InspectionResults[8]</v>
      </c>
      <c r="B96" s="1" t="s">
        <v>235</v>
      </c>
      <c r="C96" s="1" t="str">
        <f t="shared" si="15"/>
        <v>%IB551</v>
      </c>
    </row>
    <row r="97" spans="1:3">
      <c r="A97" t="str">
        <f t="shared" si="14"/>
        <v>D902M-InspectionResults[9]</v>
      </c>
      <c r="B97" s="1" t="s">
        <v>235</v>
      </c>
      <c r="C97" s="1" t="str">
        <f t="shared" si="15"/>
        <v>%IB552</v>
      </c>
    </row>
    <row r="98" spans="1:3">
      <c r="A98" t="str">
        <f t="shared" si="14"/>
        <v>D902M-InspectionResults[10]</v>
      </c>
      <c r="B98" s="1" t="s">
        <v>235</v>
      </c>
      <c r="C98" s="1" t="str">
        <f t="shared" si="15"/>
        <v>%IB553</v>
      </c>
    </row>
    <row r="99" spans="1:3">
      <c r="A99" t="str">
        <f t="shared" si="14"/>
        <v>D902M-InspectionResults[11]</v>
      </c>
      <c r="B99" s="1" t="s">
        <v>235</v>
      </c>
      <c r="C99" s="1" t="str">
        <f t="shared" si="15"/>
        <v>%IB554</v>
      </c>
    </row>
    <row r="100" spans="1:3">
      <c r="A100" t="str">
        <f t="shared" si="14"/>
        <v>D902M-InspectionResults[12]</v>
      </c>
      <c r="B100" s="1" t="s">
        <v>235</v>
      </c>
      <c r="C100" s="1" t="str">
        <f t="shared" si="15"/>
        <v>%IB555</v>
      </c>
    </row>
    <row r="101" spans="1:3">
      <c r="A101" t="str">
        <f t="shared" si="14"/>
        <v>D902M-InspectionResults[13]</v>
      </c>
      <c r="B101" s="1" t="s">
        <v>235</v>
      </c>
      <c r="C101" s="1" t="str">
        <f t="shared" si="15"/>
        <v>%IB556</v>
      </c>
    </row>
    <row r="102" spans="1:3">
      <c r="A102" t="str">
        <f t="shared" si="14"/>
        <v>D902M-InspectionResults[14]</v>
      </c>
      <c r="B102" s="1" t="s">
        <v>235</v>
      </c>
      <c r="C102" s="1" t="str">
        <f t="shared" si="15"/>
        <v>%IB557</v>
      </c>
    </row>
    <row r="103" spans="1:3">
      <c r="A103" t="str">
        <f t="shared" si="14"/>
        <v>D902M-InspectionResults[15]</v>
      </c>
      <c r="B103" s="1" t="s">
        <v>235</v>
      </c>
      <c r="C103" s="1" t="str">
        <f t="shared" si="15"/>
        <v>%IB558</v>
      </c>
    </row>
  </sheetData>
  <mergeCells count="21">
    <mergeCell ref="A2:A3"/>
    <mergeCell ref="B2:B3"/>
    <mergeCell ref="E3:E4"/>
    <mergeCell ref="F3:H3"/>
    <mergeCell ref="N3:Q3"/>
    <mergeCell ref="E5:E8"/>
    <mergeCell ref="M5:M75"/>
    <mergeCell ref="E9:E17"/>
    <mergeCell ref="A17:B17"/>
    <mergeCell ref="A18:B18"/>
    <mergeCell ref="A19:B19"/>
    <mergeCell ref="A20:B20"/>
    <mergeCell ref="A21:B21"/>
    <mergeCell ref="A22:B22"/>
    <mergeCell ref="A23:B23"/>
    <mergeCell ref="E38:E45"/>
    <mergeCell ref="E46:E53"/>
    <mergeCell ref="E54:E69"/>
    <mergeCell ref="E70:E87"/>
    <mergeCell ref="E18:E22"/>
    <mergeCell ref="E23:E34"/>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D5BAA-27D3-4D1E-B781-73D050860663}">
  <sheetPr codeName="Sheet9"/>
  <dimension ref="A1:Q104"/>
  <sheetViews>
    <sheetView topLeftCell="A6" workbookViewId="0">
      <selection activeCell="C3" sqref="C3"/>
    </sheetView>
  </sheetViews>
  <sheetFormatPr defaultRowHeight="14.4"/>
  <cols>
    <col min="1" max="1" width="35" customWidth="1"/>
    <col min="2" max="2" width="21.44140625" style="1" customWidth="1"/>
    <col min="3" max="3" width="12.88671875" style="1" customWidth="1"/>
    <col min="4" max="4" width="24.109375" bestFit="1" customWidth="1"/>
    <col min="5" max="5" width="30.6640625" customWidth="1"/>
    <col min="6" max="6" width="41.44140625" customWidth="1"/>
    <col min="7" max="8" width="10" customWidth="1"/>
    <col min="13" max="13" width="48.109375" customWidth="1"/>
    <col min="14" max="14" width="29.33203125" customWidth="1"/>
    <col min="15" max="15" width="27.33203125" customWidth="1"/>
  </cols>
  <sheetData>
    <row r="1" spans="1:17" ht="15" thickBot="1"/>
    <row r="2" spans="1:17" ht="15" thickBot="1">
      <c r="A2" s="123" t="s">
        <v>176</v>
      </c>
      <c r="B2" s="125" t="s">
        <v>527</v>
      </c>
    </row>
    <row r="3" spans="1:17" ht="15" thickBot="1">
      <c r="A3" s="124"/>
      <c r="B3" s="126"/>
      <c r="E3" s="127"/>
      <c r="F3" s="129" t="s">
        <v>2</v>
      </c>
      <c r="G3" s="130"/>
      <c r="H3" s="131"/>
      <c r="I3" s="1"/>
      <c r="N3" s="132" t="s">
        <v>3</v>
      </c>
      <c r="O3" s="132"/>
      <c r="P3" s="132"/>
      <c r="Q3" s="132"/>
    </row>
    <row r="4" spans="1:17" ht="15" thickBot="1">
      <c r="A4" s="11"/>
      <c r="B4" s="11"/>
      <c r="E4" s="128"/>
      <c r="F4" s="34" t="s">
        <v>4</v>
      </c>
      <c r="G4" s="31" t="s">
        <v>5</v>
      </c>
      <c r="H4" s="33" t="s">
        <v>6</v>
      </c>
      <c r="Q4" t="s">
        <v>7</v>
      </c>
    </row>
    <row r="5" spans="1:17" ht="16.2" thickBot="1">
      <c r="A5" s="7" t="s">
        <v>8</v>
      </c>
      <c r="B5" s="7" t="s">
        <v>9</v>
      </c>
      <c r="E5" s="133" t="s">
        <v>178</v>
      </c>
      <c r="F5" s="23" t="str">
        <f t="shared" ref="F5:F68" si="0">$B$2&amp;"-"&amp;O5</f>
        <v>L4000ts-TriggerEnable</v>
      </c>
      <c r="G5" s="10" t="s">
        <v>11</v>
      </c>
      <c r="H5" s="25" t="str">
        <f>P5&amp;$B$6&amp;"."&amp;Q5</f>
        <v>%Q7.0</v>
      </c>
      <c r="M5" s="136" t="s">
        <v>12</v>
      </c>
      <c r="N5" s="15" t="s">
        <v>178</v>
      </c>
      <c r="O5" t="s">
        <v>13</v>
      </c>
      <c r="P5" t="s">
        <v>14</v>
      </c>
      <c r="Q5" s="3">
        <v>0</v>
      </c>
    </row>
    <row r="6" spans="1:17">
      <c r="A6" s="8" t="s">
        <v>178</v>
      </c>
      <c r="B6" s="36">
        <v>7</v>
      </c>
      <c r="E6" s="134"/>
      <c r="F6" s="23" t="str">
        <f t="shared" si="0"/>
        <v>L4000ts-Trigger</v>
      </c>
      <c r="G6" s="11" t="s">
        <v>11</v>
      </c>
      <c r="H6" s="4" t="str">
        <f t="shared" ref="H6:H7" si="1">P6&amp;$B$6&amp;"."&amp;Q6</f>
        <v>%Q7.1</v>
      </c>
      <c r="M6" s="137"/>
      <c r="N6" s="15"/>
      <c r="O6" t="s">
        <v>179</v>
      </c>
      <c r="P6" t="s">
        <v>14</v>
      </c>
      <c r="Q6" s="3">
        <v>1</v>
      </c>
    </row>
    <row r="7" spans="1:17">
      <c r="A7" s="8" t="s">
        <v>180</v>
      </c>
      <c r="B7" s="37">
        <v>18</v>
      </c>
      <c r="E7" s="134"/>
      <c r="F7" s="23" t="str">
        <f t="shared" si="0"/>
        <v>L4000ts-ClearExposureComplete</v>
      </c>
      <c r="G7" s="11" t="s">
        <v>11</v>
      </c>
      <c r="H7" s="4" t="str">
        <f t="shared" si="1"/>
        <v>%Q7.2</v>
      </c>
      <c r="M7" s="137"/>
      <c r="O7" t="s">
        <v>181</v>
      </c>
      <c r="P7" t="s">
        <v>14</v>
      </c>
      <c r="Q7">
        <v>2</v>
      </c>
    </row>
    <row r="8" spans="1:17">
      <c r="A8" s="8" t="s">
        <v>182</v>
      </c>
      <c r="B8" s="37">
        <v>8</v>
      </c>
      <c r="E8" s="135"/>
      <c r="F8" s="113" t="str">
        <f t="shared" si="0"/>
        <v>L4000ts-SetPaused</v>
      </c>
      <c r="G8" s="12" t="s">
        <v>11</v>
      </c>
      <c r="H8" s="20" t="str">
        <f>P8&amp;$B$6&amp;"."&amp;Q8</f>
        <v>%Q7.7</v>
      </c>
      <c r="M8" s="137"/>
      <c r="N8" s="15"/>
      <c r="O8" t="s">
        <v>183</v>
      </c>
      <c r="P8" t="s">
        <v>14</v>
      </c>
      <c r="Q8" s="3">
        <v>7</v>
      </c>
    </row>
    <row r="9" spans="1:17">
      <c r="A9" s="8" t="s">
        <v>184</v>
      </c>
      <c r="B9" s="37">
        <v>21</v>
      </c>
      <c r="E9" s="133" t="s">
        <v>180</v>
      </c>
      <c r="F9" s="23" t="str">
        <f t="shared" si="0"/>
        <v>L4000ts-TriggerReady</v>
      </c>
      <c r="G9" s="10" t="s">
        <v>11</v>
      </c>
      <c r="H9" s="25" t="str">
        <f t="shared" ref="H9:H16" si="2">P9&amp;$B$7&amp;"."&amp;Q9</f>
        <v>%I18.0</v>
      </c>
      <c r="M9" s="137"/>
      <c r="N9" s="87" t="s">
        <v>180</v>
      </c>
      <c r="O9" t="s">
        <v>185</v>
      </c>
      <c r="P9" t="s">
        <v>80</v>
      </c>
      <c r="Q9" s="3">
        <v>0</v>
      </c>
    </row>
    <row r="10" spans="1:17">
      <c r="A10" s="8" t="s">
        <v>186</v>
      </c>
      <c r="B10" s="37">
        <v>130</v>
      </c>
      <c r="E10" s="134"/>
      <c r="F10" s="23" t="str">
        <f t="shared" si="0"/>
        <v>L4000ts-TriggerAck</v>
      </c>
      <c r="G10" s="11" t="s">
        <v>11</v>
      </c>
      <c r="H10" s="4" t="str">
        <f t="shared" si="2"/>
        <v>%I18.1</v>
      </c>
      <c r="M10" s="137"/>
      <c r="N10" s="87"/>
      <c r="O10" t="s">
        <v>187</v>
      </c>
      <c r="P10" t="s">
        <v>80</v>
      </c>
      <c r="Q10" s="3">
        <v>1</v>
      </c>
    </row>
    <row r="11" spans="1:17">
      <c r="A11" s="8" t="s">
        <v>188</v>
      </c>
      <c r="B11" s="37">
        <v>210</v>
      </c>
      <c r="E11" s="134"/>
      <c r="F11" s="23" t="str">
        <f t="shared" si="0"/>
        <v>L4000ts-ExposureComplete</v>
      </c>
      <c r="G11" s="11" t="s">
        <v>11</v>
      </c>
      <c r="H11" s="4" t="str">
        <f t="shared" si="2"/>
        <v>%I18.2</v>
      </c>
      <c r="M11" s="137"/>
      <c r="N11" s="87"/>
      <c r="O11" t="s">
        <v>189</v>
      </c>
      <c r="P11" t="s">
        <v>80</v>
      </c>
      <c r="Q11" s="3">
        <v>2</v>
      </c>
    </row>
    <row r="12" spans="1:17">
      <c r="A12" s="8" t="s">
        <v>190</v>
      </c>
      <c r="B12" s="37">
        <v>9</v>
      </c>
      <c r="E12" s="134"/>
      <c r="F12" s="23" t="str">
        <f t="shared" si="0"/>
        <v>L4000ts-AcquisitionError</v>
      </c>
      <c r="G12" s="11" t="s">
        <v>11</v>
      </c>
      <c r="H12" s="4" t="str">
        <f t="shared" si="2"/>
        <v>%I18.3</v>
      </c>
      <c r="M12" s="137"/>
      <c r="N12" s="87"/>
      <c r="O12" t="s">
        <v>191</v>
      </c>
      <c r="P12" t="s">
        <v>80</v>
      </c>
      <c r="Q12" s="3">
        <v>3</v>
      </c>
    </row>
    <row r="13" spans="1:17">
      <c r="A13" s="8" t="s">
        <v>192</v>
      </c>
      <c r="B13" s="37">
        <v>5</v>
      </c>
      <c r="E13" s="134"/>
      <c r="F13" s="23" t="str">
        <f t="shared" si="0"/>
        <v>L4000ts-Reserved</v>
      </c>
      <c r="G13" s="11" t="s">
        <v>11</v>
      </c>
      <c r="H13" s="4" t="str">
        <f t="shared" si="2"/>
        <v>%I18.4</v>
      </c>
      <c r="M13" s="137"/>
      <c r="N13" s="87"/>
      <c r="O13" t="s">
        <v>193</v>
      </c>
      <c r="P13" t="s">
        <v>80</v>
      </c>
      <c r="Q13" s="3">
        <v>4</v>
      </c>
    </row>
    <row r="14" spans="1:17">
      <c r="A14" s="8" t="s">
        <v>194</v>
      </c>
      <c r="B14" s="37">
        <v>198</v>
      </c>
      <c r="E14" s="134"/>
      <c r="F14" s="23" t="str">
        <f t="shared" si="0"/>
        <v>L4000ts-Reserved</v>
      </c>
      <c r="G14" s="11" t="s">
        <v>11</v>
      </c>
      <c r="H14" s="4" t="str">
        <f t="shared" si="2"/>
        <v>%I18.5</v>
      </c>
      <c r="M14" s="137"/>
      <c r="N14" s="87"/>
      <c r="O14" t="s">
        <v>193</v>
      </c>
      <c r="P14" t="s">
        <v>80</v>
      </c>
      <c r="Q14" s="3">
        <v>5</v>
      </c>
    </row>
    <row r="15" spans="1:17" ht="15" thickBot="1">
      <c r="A15" s="9" t="s">
        <v>195</v>
      </c>
      <c r="B15" s="38">
        <v>214</v>
      </c>
      <c r="E15" s="134"/>
      <c r="F15" s="113" t="str">
        <f t="shared" si="0"/>
        <v>L4000ts-Paused</v>
      </c>
      <c r="G15" s="11" t="s">
        <v>11</v>
      </c>
      <c r="H15" s="4" t="str">
        <f t="shared" si="2"/>
        <v>%I18.6</v>
      </c>
      <c r="M15" s="137"/>
      <c r="N15" s="87"/>
      <c r="O15" t="s">
        <v>160</v>
      </c>
      <c r="P15" t="s">
        <v>80</v>
      </c>
      <c r="Q15" s="3">
        <v>6</v>
      </c>
    </row>
    <row r="16" spans="1:17" ht="15" thickBot="1">
      <c r="E16" s="134"/>
      <c r="F16" s="113" t="str">
        <f t="shared" si="0"/>
        <v>L4000ts-Online</v>
      </c>
      <c r="G16" s="11" t="s">
        <v>11</v>
      </c>
      <c r="H16" s="4" t="str">
        <f t="shared" si="2"/>
        <v>%I18.7</v>
      </c>
      <c r="M16" s="137"/>
      <c r="N16" s="87"/>
      <c r="O16" t="s">
        <v>161</v>
      </c>
      <c r="P16" t="s">
        <v>80</v>
      </c>
      <c r="Q16" s="3">
        <v>7</v>
      </c>
    </row>
    <row r="17" spans="1:17">
      <c r="A17" s="138" t="s">
        <v>40</v>
      </c>
      <c r="B17" s="139"/>
      <c r="E17" s="135"/>
      <c r="F17" s="23" t="str">
        <f t="shared" si="0"/>
        <v>L4000ts-AcquisitionID</v>
      </c>
      <c r="G17" s="12" t="s">
        <v>22</v>
      </c>
      <c r="H17" s="20" t="str">
        <f>P17&amp;Q17</f>
        <v>%IW19</v>
      </c>
      <c r="M17" s="137"/>
      <c r="N17" s="87"/>
      <c r="O17" t="s">
        <v>196</v>
      </c>
      <c r="P17" t="s">
        <v>89</v>
      </c>
      <c r="Q17" s="3">
        <f>SUM(B7+1)</f>
        <v>19</v>
      </c>
    </row>
    <row r="18" spans="1:17">
      <c r="A18" s="140" t="s">
        <v>42</v>
      </c>
      <c r="B18" s="141"/>
      <c r="E18" s="133" t="s">
        <v>182</v>
      </c>
      <c r="F18" s="23" t="str">
        <f t="shared" si="0"/>
        <v>L4000ts-BufferResultsEnable</v>
      </c>
      <c r="G18" s="10" t="s">
        <v>11</v>
      </c>
      <c r="H18" s="25" t="str">
        <f>P18&amp;$B$8&amp;"."&amp;Q18</f>
        <v>%Q8.0</v>
      </c>
      <c r="M18" s="137"/>
      <c r="N18" s="87" t="s">
        <v>182</v>
      </c>
      <c r="O18" t="s">
        <v>16</v>
      </c>
      <c r="P18" t="s">
        <v>14</v>
      </c>
      <c r="Q18" s="3">
        <v>0</v>
      </c>
    </row>
    <row r="19" spans="1:17">
      <c r="A19" s="140" t="s">
        <v>197</v>
      </c>
      <c r="B19" s="141"/>
      <c r="E19" s="134"/>
      <c r="F19" s="23" t="str">
        <f t="shared" si="0"/>
        <v>L4000ts-InspectionResultsAck</v>
      </c>
      <c r="G19" s="11" t="s">
        <v>11</v>
      </c>
      <c r="H19" s="4" t="str">
        <f>P19&amp;$B$8&amp;"."&amp;Q19</f>
        <v>%Q8.1</v>
      </c>
      <c r="M19" s="137"/>
      <c r="N19" s="87"/>
      <c r="O19" t="s">
        <v>198</v>
      </c>
      <c r="P19" t="s">
        <v>14</v>
      </c>
      <c r="Q19" s="3">
        <v>1</v>
      </c>
    </row>
    <row r="20" spans="1:17">
      <c r="A20" s="140" t="s">
        <v>199</v>
      </c>
      <c r="B20" s="141"/>
      <c r="E20" s="134"/>
      <c r="F20" s="23" t="str">
        <f t="shared" si="0"/>
        <v>L4000ts-SetUserData</v>
      </c>
      <c r="G20" s="11" t="s">
        <v>11</v>
      </c>
      <c r="H20" s="4" t="str">
        <f>P20&amp;$B$8&amp;"."&amp;Q20</f>
        <v>%Q8.2</v>
      </c>
      <c r="M20" s="137"/>
      <c r="N20" s="87"/>
      <c r="O20" t="s">
        <v>200</v>
      </c>
      <c r="P20" t="s">
        <v>14</v>
      </c>
      <c r="Q20" s="3">
        <v>2</v>
      </c>
    </row>
    <row r="21" spans="1:17">
      <c r="A21" s="140" t="s">
        <v>49</v>
      </c>
      <c r="B21" s="141"/>
      <c r="E21" s="134"/>
      <c r="F21" s="23" t="str">
        <f t="shared" si="0"/>
        <v>L4000ts-ExecuteCommand/JobLoad</v>
      </c>
      <c r="G21" s="11" t="s">
        <v>11</v>
      </c>
      <c r="H21" s="4" t="str">
        <f>P21&amp;$B$8&amp;"."&amp;Q21</f>
        <v>%Q8.3</v>
      </c>
      <c r="M21" s="137"/>
      <c r="N21" s="87"/>
      <c r="O21" t="s">
        <v>201</v>
      </c>
      <c r="P21" t="s">
        <v>14</v>
      </c>
      <c r="Q21" s="3">
        <v>3</v>
      </c>
    </row>
    <row r="22" spans="1:17">
      <c r="A22" s="140" t="s">
        <v>51</v>
      </c>
      <c r="B22" s="141"/>
      <c r="E22" s="135"/>
      <c r="F22" s="23" t="str">
        <f t="shared" si="0"/>
        <v>L4000ts-ClearError</v>
      </c>
      <c r="G22" s="12" t="s">
        <v>11</v>
      </c>
      <c r="H22" s="20" t="str">
        <f>P22&amp;$B$8&amp;"."&amp;Q22</f>
        <v>%Q8.7</v>
      </c>
      <c r="M22" s="137"/>
      <c r="O22" t="s">
        <v>20</v>
      </c>
      <c r="P22" t="s">
        <v>14</v>
      </c>
      <c r="Q22" s="3">
        <v>7</v>
      </c>
    </row>
    <row r="23" spans="1:17" ht="15" thickBot="1">
      <c r="A23" s="142" t="s">
        <v>53</v>
      </c>
      <c r="B23" s="143"/>
      <c r="E23" s="133" t="s">
        <v>184</v>
      </c>
      <c r="F23" s="23" t="str">
        <f t="shared" si="0"/>
        <v>L4000ts-SystemReady</v>
      </c>
      <c r="G23" s="10" t="s">
        <v>11</v>
      </c>
      <c r="H23" s="25" t="str">
        <f t="shared" ref="H23:H30" si="3">P23&amp;$B$9&amp;"."&amp;Q23</f>
        <v>%I21.0</v>
      </c>
      <c r="M23" s="137"/>
      <c r="N23" s="87" t="s">
        <v>184</v>
      </c>
      <c r="O23" t="s">
        <v>202</v>
      </c>
      <c r="P23" t="s">
        <v>80</v>
      </c>
      <c r="Q23" s="3">
        <v>0</v>
      </c>
    </row>
    <row r="24" spans="1:17">
      <c r="E24" s="134"/>
      <c r="F24" s="23" t="str">
        <f t="shared" si="0"/>
        <v>L4000ts-InspectionCompleted</v>
      </c>
      <c r="G24" s="11" t="s">
        <v>11</v>
      </c>
      <c r="H24" s="4" t="str">
        <f t="shared" si="3"/>
        <v>%I21.1</v>
      </c>
      <c r="M24" s="137"/>
      <c r="N24" s="87"/>
      <c r="O24" t="s">
        <v>203</v>
      </c>
      <c r="P24" t="s">
        <v>80</v>
      </c>
      <c r="Q24" s="3">
        <v>1</v>
      </c>
    </row>
    <row r="25" spans="1:17">
      <c r="E25" s="134"/>
      <c r="F25" s="23" t="str">
        <f t="shared" si="0"/>
        <v>L4000ts-ResultsBufferOverrun</v>
      </c>
      <c r="G25" s="11" t="s">
        <v>11</v>
      </c>
      <c r="H25" s="4" t="str">
        <f t="shared" si="3"/>
        <v>%I21.2</v>
      </c>
      <c r="M25" s="137"/>
      <c r="N25" s="87"/>
      <c r="O25" t="s">
        <v>204</v>
      </c>
      <c r="P25" t="s">
        <v>80</v>
      </c>
      <c r="Q25" s="3">
        <v>2</v>
      </c>
    </row>
    <row r="26" spans="1:17">
      <c r="A26" s="23" t="str">
        <f>F16</f>
        <v>L4000ts-Online</v>
      </c>
      <c r="B26" s="11" t="s">
        <v>11</v>
      </c>
      <c r="C26" s="4" t="str">
        <f>H16</f>
        <v>%I18.7</v>
      </c>
      <c r="E26" s="134"/>
      <c r="F26" s="23" t="str">
        <f t="shared" si="0"/>
        <v>L4000ts-ResultsValid</v>
      </c>
      <c r="G26" s="11" t="s">
        <v>11</v>
      </c>
      <c r="H26" s="4" t="str">
        <f t="shared" si="3"/>
        <v>%I21.3</v>
      </c>
      <c r="M26" s="137"/>
      <c r="N26" s="87"/>
      <c r="O26" t="s">
        <v>205</v>
      </c>
      <c r="P26" t="s">
        <v>80</v>
      </c>
      <c r="Q26" s="3">
        <v>3</v>
      </c>
    </row>
    <row r="27" spans="1:17">
      <c r="A27" t="str">
        <f>F8</f>
        <v>L4000ts-SetPaused</v>
      </c>
      <c r="B27" s="11" t="s">
        <v>11</v>
      </c>
      <c r="C27" s="1" t="str">
        <f>H8</f>
        <v>%Q7.7</v>
      </c>
      <c r="E27" s="134"/>
      <c r="F27" s="23" t="str">
        <f t="shared" si="0"/>
        <v>L4000ts-CommandExecuting</v>
      </c>
      <c r="G27" s="11" t="s">
        <v>11</v>
      </c>
      <c r="H27" s="4" t="str">
        <f t="shared" si="3"/>
        <v>%I21.4</v>
      </c>
      <c r="M27" s="137"/>
      <c r="N27" s="87"/>
      <c r="O27" t="s">
        <v>206</v>
      </c>
      <c r="P27" t="s">
        <v>80</v>
      </c>
      <c r="Q27" s="3">
        <v>4</v>
      </c>
    </row>
    <row r="28" spans="1:17">
      <c r="A28" t="str">
        <f>F15</f>
        <v>L4000ts-Paused</v>
      </c>
      <c r="B28" s="11" t="s">
        <v>11</v>
      </c>
      <c r="C28" s="1" t="str">
        <f>H15</f>
        <v>%I18.6</v>
      </c>
      <c r="E28" s="134"/>
      <c r="F28" s="23" t="str">
        <f t="shared" si="0"/>
        <v>L4000ts-CommandCompleted</v>
      </c>
      <c r="G28" s="11" t="s">
        <v>11</v>
      </c>
      <c r="H28" s="4" t="str">
        <f t="shared" si="3"/>
        <v>%I21.5</v>
      </c>
      <c r="M28" s="137"/>
      <c r="N28" s="87"/>
      <c r="O28" t="s">
        <v>207</v>
      </c>
      <c r="P28" t="s">
        <v>80</v>
      </c>
      <c r="Q28" s="3">
        <v>5</v>
      </c>
    </row>
    <row r="29" spans="1:17">
      <c r="A29" t="str">
        <f>F5</f>
        <v>L4000ts-TriggerEnable</v>
      </c>
      <c r="B29" s="11" t="s">
        <v>11</v>
      </c>
      <c r="C29" s="1" t="str">
        <f>H5</f>
        <v>%Q7.0</v>
      </c>
      <c r="E29" s="134"/>
      <c r="F29" s="23" t="str">
        <f t="shared" si="0"/>
        <v>L4000ts-CommandFailed</v>
      </c>
      <c r="G29" s="11" t="s">
        <v>11</v>
      </c>
      <c r="H29" s="4" t="str">
        <f t="shared" si="3"/>
        <v>%I21.6</v>
      </c>
      <c r="M29" s="137"/>
      <c r="N29" s="87"/>
      <c r="O29" t="s">
        <v>208</v>
      </c>
      <c r="P29" t="s">
        <v>80</v>
      </c>
      <c r="Q29" s="3">
        <v>6</v>
      </c>
    </row>
    <row r="30" spans="1:17">
      <c r="A30" t="str">
        <f>F9</f>
        <v>L4000ts-TriggerReady</v>
      </c>
      <c r="B30" s="11" t="s">
        <v>11</v>
      </c>
      <c r="C30" s="1" t="str">
        <f>H9</f>
        <v>%I18.0</v>
      </c>
      <c r="E30" s="134"/>
      <c r="F30" s="23" t="str">
        <f t="shared" si="0"/>
        <v>L4000ts-SetUserDataAck</v>
      </c>
      <c r="G30" s="11" t="s">
        <v>11</v>
      </c>
      <c r="H30" s="4" t="str">
        <f t="shared" si="3"/>
        <v>%I21.7</v>
      </c>
      <c r="M30" s="137"/>
      <c r="N30" s="87"/>
      <c r="O30" t="s">
        <v>209</v>
      </c>
      <c r="P30" t="s">
        <v>80</v>
      </c>
      <c r="Q30" s="3">
        <v>7</v>
      </c>
    </row>
    <row r="31" spans="1:17">
      <c r="A31" t="str">
        <f>F6</f>
        <v>L4000ts-Trigger</v>
      </c>
      <c r="B31" s="11" t="s">
        <v>11</v>
      </c>
      <c r="C31" s="1" t="str">
        <f>H6</f>
        <v>%Q7.1</v>
      </c>
      <c r="E31" s="134"/>
      <c r="F31" s="23" t="str">
        <f t="shared" si="0"/>
        <v>L4000ts-ResultsPassed (Job)</v>
      </c>
      <c r="G31" s="11" t="s">
        <v>11</v>
      </c>
      <c r="H31" s="4" t="str">
        <f>P31&amp;SUM($B$9+1)&amp;"."&amp;Q31</f>
        <v>%I22.0</v>
      </c>
      <c r="M31" s="137"/>
      <c r="N31" s="87"/>
      <c r="O31" t="s">
        <v>210</v>
      </c>
      <c r="P31" t="s">
        <v>80</v>
      </c>
      <c r="Q31" s="3">
        <v>0</v>
      </c>
    </row>
    <row r="32" spans="1:17">
      <c r="A32" t="str">
        <f>F10</f>
        <v>L4000ts-TriggerAck</v>
      </c>
      <c r="B32" s="11" t="s">
        <v>11</v>
      </c>
      <c r="C32" s="1" t="str">
        <f>H10</f>
        <v>%I18.1</v>
      </c>
      <c r="E32" s="134"/>
      <c r="F32" s="23" t="str">
        <f t="shared" si="0"/>
        <v>L4000ts-Reserved</v>
      </c>
      <c r="G32" s="11" t="s">
        <v>11</v>
      </c>
      <c r="H32" s="4" t="str">
        <f>P32&amp;SUM($B$9+1)&amp;"."&amp;Q32</f>
        <v>%I22.1</v>
      </c>
      <c r="M32" s="137"/>
      <c r="N32" s="87"/>
      <c r="O32" t="s">
        <v>193</v>
      </c>
      <c r="P32" t="s">
        <v>80</v>
      </c>
      <c r="Q32" s="3">
        <v>1</v>
      </c>
    </row>
    <row r="33" spans="1:17">
      <c r="A33" t="str">
        <f>F11</f>
        <v>L4000ts-ExposureComplete</v>
      </c>
      <c r="B33" s="11" t="s">
        <v>11</v>
      </c>
      <c r="C33" s="1" t="str">
        <f>H11</f>
        <v>%I18.2</v>
      </c>
      <c r="E33" s="134"/>
      <c r="F33" s="23" t="str">
        <f t="shared" si="0"/>
        <v>L4000ts-Error</v>
      </c>
      <c r="G33" s="11" t="s">
        <v>11</v>
      </c>
      <c r="H33" s="4" t="str">
        <f t="shared" ref="H33" si="4">P33&amp;SUM($B$9+1)&amp;"."&amp;Q33</f>
        <v>%I22.7</v>
      </c>
      <c r="M33" s="137"/>
      <c r="O33" t="s">
        <v>86</v>
      </c>
      <c r="P33" t="s">
        <v>80</v>
      </c>
      <c r="Q33" s="3">
        <v>7</v>
      </c>
    </row>
    <row r="34" spans="1:17">
      <c r="A34" t="str">
        <f>F7</f>
        <v>L4000ts-ClearExposureComplete</v>
      </c>
      <c r="B34" s="11" t="s">
        <v>11</v>
      </c>
      <c r="C34" s="11" t="str">
        <f>H7</f>
        <v>%Q7.2</v>
      </c>
      <c r="E34" s="135"/>
      <c r="F34" s="23" t="str">
        <f t="shared" si="0"/>
        <v>L4000ts-ErrorCode</v>
      </c>
      <c r="G34" s="12" t="s">
        <v>87</v>
      </c>
      <c r="H34" s="20" t="str">
        <f>P34&amp;SUM($B$9+2)</f>
        <v>%IW23</v>
      </c>
      <c r="M34" s="137"/>
      <c r="O34" t="s">
        <v>211</v>
      </c>
      <c r="P34" t="s">
        <v>89</v>
      </c>
    </row>
    <row r="35" spans="1:17">
      <c r="A35" t="str">
        <f>F12</f>
        <v>L4000ts-AcquisitionError</v>
      </c>
      <c r="B35" s="11" t="s">
        <v>11</v>
      </c>
      <c r="C35" s="1" t="str">
        <f>H12</f>
        <v>%I18.3</v>
      </c>
      <c r="E35" s="35" t="s">
        <v>212</v>
      </c>
      <c r="F35" s="23" t="str">
        <f t="shared" si="0"/>
        <v>L4000ts-CommandID</v>
      </c>
      <c r="G35" s="27" t="s">
        <v>87</v>
      </c>
      <c r="H35" s="28" t="str">
        <f>P35&amp;$B$10</f>
        <v>%QW130</v>
      </c>
      <c r="M35" s="137"/>
      <c r="N35" s="87" t="s">
        <v>212</v>
      </c>
      <c r="O35" t="s">
        <v>213</v>
      </c>
      <c r="P35" t="s">
        <v>24</v>
      </c>
    </row>
    <row r="36" spans="1:17">
      <c r="A36" t="str">
        <f>F23</f>
        <v>L4000ts-SystemReady</v>
      </c>
      <c r="B36" s="11" t="s">
        <v>11</v>
      </c>
      <c r="C36" s="1" t="str">
        <f>H23</f>
        <v>%I21.0</v>
      </c>
      <c r="E36" s="35" t="s">
        <v>214</v>
      </c>
      <c r="F36" s="23" t="str">
        <f t="shared" si="0"/>
        <v>L4000ts-CommandResultCode</v>
      </c>
      <c r="G36" s="27" t="s">
        <v>87</v>
      </c>
      <c r="H36" s="28" t="str">
        <f>P36&amp;$B$11</f>
        <v>%IW210</v>
      </c>
      <c r="M36" s="137"/>
      <c r="N36" s="87" t="s">
        <v>214</v>
      </c>
      <c r="O36" t="s">
        <v>215</v>
      </c>
      <c r="P36" t="s">
        <v>89</v>
      </c>
    </row>
    <row r="37" spans="1:17">
      <c r="A37" t="str">
        <f>F24</f>
        <v>L4000ts-InspectionCompleted</v>
      </c>
      <c r="B37" s="11" t="s">
        <v>11</v>
      </c>
      <c r="C37" s="1" t="str">
        <f>H24</f>
        <v>%I21.1</v>
      </c>
      <c r="E37" s="133" t="s">
        <v>216</v>
      </c>
      <c r="F37" s="23" t="str">
        <f t="shared" si="0"/>
        <v>L4000ts-ExternalEvent[0]</v>
      </c>
      <c r="G37" s="10" t="s">
        <v>11</v>
      </c>
      <c r="H37" s="25" t="str">
        <f t="shared" ref="H37:H44" si="5">P37&amp;$B$12&amp;"."&amp;Q37</f>
        <v>%Q9.0</v>
      </c>
      <c r="M37" s="137"/>
      <c r="N37" s="87" t="s">
        <v>217</v>
      </c>
      <c r="O37" t="s">
        <v>218</v>
      </c>
      <c r="P37" t="s">
        <v>14</v>
      </c>
      <c r="Q37" s="3">
        <v>0</v>
      </c>
    </row>
    <row r="38" spans="1:17">
      <c r="A38" t="str">
        <f>F31</f>
        <v>L4000ts-ResultsPassed (Job)</v>
      </c>
      <c r="B38" s="11" t="s">
        <v>11</v>
      </c>
      <c r="C38" s="1" t="str">
        <f>H31</f>
        <v>%I22.0</v>
      </c>
      <c r="E38" s="134"/>
      <c r="F38" s="23" t="str">
        <f t="shared" si="0"/>
        <v>L4000ts-ExternalEvent[1]</v>
      </c>
      <c r="G38" s="11" t="s">
        <v>11</v>
      </c>
      <c r="H38" s="4" t="str">
        <f t="shared" si="5"/>
        <v>%Q9.1</v>
      </c>
      <c r="M38" s="137"/>
      <c r="N38" s="87"/>
      <c r="O38" t="s">
        <v>219</v>
      </c>
      <c r="P38" t="s">
        <v>14</v>
      </c>
      <c r="Q38" s="3">
        <v>1</v>
      </c>
    </row>
    <row r="39" spans="1:17">
      <c r="A39" t="str">
        <f>F17</f>
        <v>L4000ts-AcquisitionID</v>
      </c>
      <c r="B39" s="1" t="s">
        <v>22</v>
      </c>
      <c r="C39" s="1" t="str">
        <f>H17</f>
        <v>%IW19</v>
      </c>
      <c r="E39" s="134"/>
      <c r="F39" s="23" t="str">
        <f t="shared" si="0"/>
        <v>L4000ts-ExternalEvent[2]</v>
      </c>
      <c r="G39" s="11" t="s">
        <v>11</v>
      </c>
      <c r="H39" s="4" t="str">
        <f t="shared" si="5"/>
        <v>%Q9.2</v>
      </c>
      <c r="M39" s="137"/>
      <c r="N39" s="87"/>
      <c r="O39" t="s">
        <v>220</v>
      </c>
      <c r="P39" t="s">
        <v>14</v>
      </c>
      <c r="Q39" s="3">
        <v>2</v>
      </c>
    </row>
    <row r="40" spans="1:17">
      <c r="A40" t="str">
        <f>F18</f>
        <v>L4000ts-BufferResultsEnable</v>
      </c>
      <c r="B40" s="1" t="s">
        <v>11</v>
      </c>
      <c r="C40" s="1" t="str">
        <f>H18</f>
        <v>%Q8.0</v>
      </c>
      <c r="E40" s="134"/>
      <c r="F40" s="23" t="str">
        <f t="shared" si="0"/>
        <v>L4000ts-ExternalEvent[3]</v>
      </c>
      <c r="G40" s="11" t="s">
        <v>11</v>
      </c>
      <c r="H40" s="4" t="str">
        <f t="shared" si="5"/>
        <v>%Q9.3</v>
      </c>
      <c r="M40" s="137"/>
      <c r="N40" s="87"/>
      <c r="O40" t="s">
        <v>221</v>
      </c>
      <c r="P40" t="s">
        <v>14</v>
      </c>
      <c r="Q40" s="3">
        <v>3</v>
      </c>
    </row>
    <row r="41" spans="1:17">
      <c r="A41" t="str">
        <f>F25</f>
        <v>L4000ts-ResultsBufferOverrun</v>
      </c>
      <c r="B41" s="1" t="s">
        <v>11</v>
      </c>
      <c r="C41" s="1" t="str">
        <f>H25</f>
        <v>%I21.2</v>
      </c>
      <c r="E41" s="134"/>
      <c r="F41" s="23" t="str">
        <f t="shared" si="0"/>
        <v>L4000ts-ExternalEvent[4]</v>
      </c>
      <c r="G41" s="11" t="s">
        <v>11</v>
      </c>
      <c r="H41" s="4" t="str">
        <f t="shared" si="5"/>
        <v>%Q9.4</v>
      </c>
      <c r="M41" s="137"/>
      <c r="N41" s="87"/>
      <c r="O41" t="s">
        <v>222</v>
      </c>
      <c r="P41" t="s">
        <v>14</v>
      </c>
      <c r="Q41" s="3">
        <v>4</v>
      </c>
    </row>
    <row r="42" spans="1:17">
      <c r="A42" t="str">
        <f>F33</f>
        <v>L4000ts-Error</v>
      </c>
      <c r="B42" s="1" t="s">
        <v>11</v>
      </c>
      <c r="C42" s="1" t="str">
        <f>H33</f>
        <v>%I22.7</v>
      </c>
      <c r="E42" s="134"/>
      <c r="F42" s="23" t="str">
        <f t="shared" si="0"/>
        <v>L4000ts-ExternalEvent[5]</v>
      </c>
      <c r="G42" s="11" t="s">
        <v>11</v>
      </c>
      <c r="H42" s="4" t="str">
        <f t="shared" si="5"/>
        <v>%Q9.5</v>
      </c>
      <c r="M42" s="137"/>
      <c r="N42" s="87"/>
      <c r="O42" t="s">
        <v>223</v>
      </c>
      <c r="P42" t="s">
        <v>14</v>
      </c>
      <c r="Q42" s="3">
        <v>5</v>
      </c>
    </row>
    <row r="43" spans="1:17">
      <c r="A43" t="str">
        <f>F22</f>
        <v>L4000ts-ClearError</v>
      </c>
      <c r="B43" s="1" t="s">
        <v>11</v>
      </c>
      <c r="C43" s="1" t="str">
        <f>H22</f>
        <v>%Q8.7</v>
      </c>
      <c r="E43" s="134"/>
      <c r="F43" s="23" t="str">
        <f t="shared" si="0"/>
        <v>L4000ts-ExternalEvent[6]</v>
      </c>
      <c r="G43" s="11" t="s">
        <v>11</v>
      </c>
      <c r="H43" s="4" t="str">
        <f t="shared" si="5"/>
        <v>%Q9.6</v>
      </c>
      <c r="M43" s="137"/>
      <c r="N43" s="87"/>
      <c r="O43" t="s">
        <v>224</v>
      </c>
      <c r="P43" t="s">
        <v>14</v>
      </c>
      <c r="Q43" s="3">
        <v>6</v>
      </c>
    </row>
    <row r="44" spans="1:17">
      <c r="A44" t="str">
        <f>F34</f>
        <v>L4000ts-ErrorCode</v>
      </c>
      <c r="B44" s="1" t="s">
        <v>87</v>
      </c>
      <c r="C44" s="1" t="str">
        <f>H34</f>
        <v>%IW23</v>
      </c>
      <c r="E44" s="135"/>
      <c r="F44" s="23" t="str">
        <f t="shared" si="0"/>
        <v>L4000ts-ExternalEvent[7]</v>
      </c>
      <c r="G44" s="12" t="s">
        <v>11</v>
      </c>
      <c r="H44" s="20" t="str">
        <f t="shared" si="5"/>
        <v>%Q9.7</v>
      </c>
      <c r="M44" s="137"/>
      <c r="N44" s="87"/>
      <c r="O44" t="s">
        <v>225</v>
      </c>
      <c r="P44" t="s">
        <v>14</v>
      </c>
      <c r="Q44" s="3">
        <v>7</v>
      </c>
    </row>
    <row r="45" spans="1:17">
      <c r="A45" t="str">
        <f>F21</f>
        <v>L4000ts-ExecuteCommand/JobLoad</v>
      </c>
      <c r="B45" s="1" t="s">
        <v>11</v>
      </c>
      <c r="C45" s="1" t="str">
        <f>H21</f>
        <v>%Q8.3</v>
      </c>
      <c r="E45" s="133" t="s">
        <v>226</v>
      </c>
      <c r="F45" s="23" t="str">
        <f t="shared" si="0"/>
        <v>L4000ts-ExternalEventAck[0]</v>
      </c>
      <c r="G45" s="10" t="s">
        <v>11</v>
      </c>
      <c r="H45" s="25" t="str">
        <f t="shared" ref="H45:H52" si="6">P45&amp;$B$13&amp;"."&amp;Q45</f>
        <v>%I5.0</v>
      </c>
      <c r="M45" s="137"/>
      <c r="N45" s="11" t="s">
        <v>226</v>
      </c>
      <c r="O45" t="s">
        <v>227</v>
      </c>
      <c r="P45" t="s">
        <v>80</v>
      </c>
      <c r="Q45" s="3">
        <v>0</v>
      </c>
    </row>
    <row r="46" spans="1:17">
      <c r="A46" t="str">
        <f>F35</f>
        <v>L4000ts-CommandID</v>
      </c>
      <c r="B46" s="1" t="s">
        <v>87</v>
      </c>
      <c r="C46" s="1" t="str">
        <f>H35</f>
        <v>%QW130</v>
      </c>
      <c r="E46" s="134"/>
      <c r="F46" s="23" t="str">
        <f t="shared" si="0"/>
        <v>L4000ts-ExternalEventAck[1]</v>
      </c>
      <c r="G46" s="11" t="s">
        <v>11</v>
      </c>
      <c r="H46" s="4" t="str">
        <f t="shared" si="6"/>
        <v>%I5.1</v>
      </c>
      <c r="M46" s="137"/>
      <c r="N46" s="11"/>
      <c r="O46" t="s">
        <v>228</v>
      </c>
      <c r="P46" t="s">
        <v>80</v>
      </c>
      <c r="Q46" s="3">
        <v>1</v>
      </c>
    </row>
    <row r="47" spans="1:17">
      <c r="A47" t="str">
        <f>F36</f>
        <v>L4000ts-CommandResultCode</v>
      </c>
      <c r="B47" s="1" t="s">
        <v>87</v>
      </c>
      <c r="C47" s="1" t="str">
        <f>H36</f>
        <v>%IW210</v>
      </c>
      <c r="E47" s="134"/>
      <c r="F47" s="23" t="str">
        <f t="shared" si="0"/>
        <v>L4000ts-ExternalEventAck[2]</v>
      </c>
      <c r="G47" s="11" t="s">
        <v>11</v>
      </c>
      <c r="H47" s="4" t="str">
        <f t="shared" si="6"/>
        <v>%I5.2</v>
      </c>
      <c r="M47" s="137"/>
      <c r="N47" s="11"/>
      <c r="O47" t="s">
        <v>229</v>
      </c>
      <c r="P47" t="s">
        <v>80</v>
      </c>
      <c r="Q47" s="3">
        <v>2</v>
      </c>
    </row>
    <row r="48" spans="1:17">
      <c r="A48" t="str">
        <f>F27</f>
        <v>L4000ts-CommandExecuting</v>
      </c>
      <c r="B48" s="1" t="s">
        <v>11</v>
      </c>
      <c r="C48" s="1" t="str">
        <f>H27</f>
        <v>%I21.4</v>
      </c>
      <c r="E48" s="134"/>
      <c r="F48" s="23" t="str">
        <f t="shared" si="0"/>
        <v>L4000ts-ExternalEventAck[3]</v>
      </c>
      <c r="G48" s="11" t="s">
        <v>11</v>
      </c>
      <c r="H48" s="4" t="str">
        <f t="shared" si="6"/>
        <v>%I5.3</v>
      </c>
      <c r="M48" s="137"/>
      <c r="N48" s="11"/>
      <c r="O48" t="s">
        <v>230</v>
      </c>
      <c r="P48" t="s">
        <v>80</v>
      </c>
      <c r="Q48" s="3">
        <v>3</v>
      </c>
    </row>
    <row r="49" spans="1:17">
      <c r="A49" t="str">
        <f>F28</f>
        <v>L4000ts-CommandCompleted</v>
      </c>
      <c r="B49" s="1" t="s">
        <v>11</v>
      </c>
      <c r="C49" s="1" t="str">
        <f>H28</f>
        <v>%I21.5</v>
      </c>
      <c r="E49" s="134"/>
      <c r="F49" s="23" t="str">
        <f t="shared" si="0"/>
        <v>L4000ts-ExternalEventAck[4]</v>
      </c>
      <c r="G49" s="11" t="s">
        <v>11</v>
      </c>
      <c r="H49" s="4" t="str">
        <f t="shared" si="6"/>
        <v>%I5.4</v>
      </c>
      <c r="M49" s="137"/>
      <c r="N49" s="11"/>
      <c r="O49" t="s">
        <v>231</v>
      </c>
      <c r="P49" t="s">
        <v>80</v>
      </c>
      <c r="Q49" s="3">
        <v>4</v>
      </c>
    </row>
    <row r="50" spans="1:17">
      <c r="A50" t="str">
        <f>F29</f>
        <v>L4000ts-CommandFailed</v>
      </c>
      <c r="B50" s="1" t="s">
        <v>11</v>
      </c>
      <c r="C50" s="1" t="str">
        <f>H29</f>
        <v>%I21.6</v>
      </c>
      <c r="E50" s="134"/>
      <c r="F50" s="23" t="str">
        <f t="shared" si="0"/>
        <v>L4000ts-ExternalEventAck[5]</v>
      </c>
      <c r="G50" s="11" t="s">
        <v>11</v>
      </c>
      <c r="H50" s="4" t="str">
        <f t="shared" si="6"/>
        <v>%I5.5</v>
      </c>
      <c r="M50" s="137"/>
      <c r="N50" s="11"/>
      <c r="O50" t="s">
        <v>232</v>
      </c>
      <c r="P50" t="s">
        <v>80</v>
      </c>
      <c r="Q50" s="3">
        <v>5</v>
      </c>
    </row>
    <row r="51" spans="1:17">
      <c r="A51" t="str">
        <f>F20</f>
        <v>L4000ts-SetUserData</v>
      </c>
      <c r="B51" s="1" t="s">
        <v>11</v>
      </c>
      <c r="C51" s="1" t="str">
        <f>H20</f>
        <v>%Q8.2</v>
      </c>
      <c r="E51" s="134"/>
      <c r="F51" s="23" t="str">
        <f t="shared" si="0"/>
        <v>L4000ts-ExternalEventAck[6]</v>
      </c>
      <c r="G51" s="11" t="s">
        <v>11</v>
      </c>
      <c r="H51" s="4" t="str">
        <f t="shared" si="6"/>
        <v>%I5.6</v>
      </c>
      <c r="M51" s="137"/>
      <c r="N51" s="11"/>
      <c r="O51" t="s">
        <v>233</v>
      </c>
      <c r="P51" t="s">
        <v>80</v>
      </c>
      <c r="Q51" s="3">
        <v>6</v>
      </c>
    </row>
    <row r="52" spans="1:17">
      <c r="A52" t="str">
        <f>F30</f>
        <v>L4000ts-SetUserDataAck</v>
      </c>
      <c r="B52" s="1" t="s">
        <v>11</v>
      </c>
      <c r="C52" s="1" t="str">
        <f>H30</f>
        <v>%I21.7</v>
      </c>
      <c r="E52" s="135"/>
      <c r="F52" s="23" t="str">
        <f t="shared" si="0"/>
        <v>L4000ts-ExternalEventAck[7]</v>
      </c>
      <c r="G52" s="12" t="s">
        <v>11</v>
      </c>
      <c r="H52" s="20" t="str">
        <f t="shared" si="6"/>
        <v>%I5.7</v>
      </c>
      <c r="M52" s="137"/>
      <c r="N52" s="11"/>
      <c r="O52" t="s">
        <v>234</v>
      </c>
      <c r="P52" t="s">
        <v>80</v>
      </c>
      <c r="Q52" s="3">
        <v>7</v>
      </c>
    </row>
    <row r="53" spans="1:17">
      <c r="A53" t="str">
        <f t="shared" ref="A53:A68" si="7">F53</f>
        <v>L4000ts-UserData[0]</v>
      </c>
      <c r="B53" s="1" t="s">
        <v>235</v>
      </c>
      <c r="C53" s="1" t="str">
        <f t="shared" ref="C53:C68" si="8">H53</f>
        <v>%QB198</v>
      </c>
      <c r="D53" t="s">
        <v>236</v>
      </c>
      <c r="E53" s="133" t="s">
        <v>194</v>
      </c>
      <c r="F53" s="23" t="str">
        <f t="shared" si="0"/>
        <v>L4000ts-UserData[0]</v>
      </c>
      <c r="G53" s="10" t="s">
        <v>235</v>
      </c>
      <c r="H53" s="25" t="str">
        <f t="shared" ref="H53:H86" si="9">P53&amp;Q53</f>
        <v>%QB198</v>
      </c>
      <c r="M53" s="137"/>
      <c r="N53" s="87" t="s">
        <v>194</v>
      </c>
      <c r="O53" t="s">
        <v>237</v>
      </c>
      <c r="P53" t="s">
        <v>238</v>
      </c>
      <c r="Q53">
        <f>$B$14</f>
        <v>198</v>
      </c>
    </row>
    <row r="54" spans="1:17">
      <c r="A54" t="str">
        <f t="shared" si="7"/>
        <v>L4000ts-UserData[1]</v>
      </c>
      <c r="B54" s="1" t="s">
        <v>235</v>
      </c>
      <c r="C54" s="1" t="str">
        <f t="shared" si="8"/>
        <v>%QB199</v>
      </c>
      <c r="E54" s="134"/>
      <c r="F54" s="23" t="str">
        <f t="shared" si="0"/>
        <v>L4000ts-UserData[1]</v>
      </c>
      <c r="G54" s="11" t="s">
        <v>235</v>
      </c>
      <c r="H54" s="4" t="str">
        <f t="shared" si="9"/>
        <v>%QB199</v>
      </c>
      <c r="M54" s="137"/>
      <c r="N54" s="11"/>
      <c r="O54" t="s">
        <v>239</v>
      </c>
      <c r="P54" t="s">
        <v>238</v>
      </c>
      <c r="Q54">
        <f>SUM(Q53+1)</f>
        <v>199</v>
      </c>
    </row>
    <row r="55" spans="1:17">
      <c r="A55" t="str">
        <f t="shared" si="7"/>
        <v>L4000ts-UserData[2]</v>
      </c>
      <c r="B55" s="1" t="s">
        <v>235</v>
      </c>
      <c r="C55" s="1" t="str">
        <f t="shared" si="8"/>
        <v>%QB200</v>
      </c>
      <c r="E55" s="134"/>
      <c r="F55" s="23" t="str">
        <f t="shared" si="0"/>
        <v>L4000ts-UserData[2]</v>
      </c>
      <c r="G55" s="11" t="s">
        <v>235</v>
      </c>
      <c r="H55" s="4" t="str">
        <f t="shared" si="9"/>
        <v>%QB200</v>
      </c>
      <c r="M55" s="137"/>
      <c r="N55" s="11"/>
      <c r="O55" t="s">
        <v>240</v>
      </c>
      <c r="P55" t="s">
        <v>238</v>
      </c>
      <c r="Q55">
        <f t="shared" ref="Q55:Q68" si="10">SUM(Q54+1)</f>
        <v>200</v>
      </c>
    </row>
    <row r="56" spans="1:17">
      <c r="A56" t="str">
        <f t="shared" si="7"/>
        <v>L4000ts-UserData[3]</v>
      </c>
      <c r="B56" s="1" t="s">
        <v>235</v>
      </c>
      <c r="C56" s="1" t="str">
        <f t="shared" si="8"/>
        <v>%QB201</v>
      </c>
      <c r="E56" s="134"/>
      <c r="F56" s="23" t="str">
        <f t="shared" si="0"/>
        <v>L4000ts-UserData[3]</v>
      </c>
      <c r="G56" s="11" t="s">
        <v>235</v>
      </c>
      <c r="H56" s="4" t="str">
        <f t="shared" si="9"/>
        <v>%QB201</v>
      </c>
      <c r="M56" s="137"/>
      <c r="N56" s="11"/>
      <c r="O56" t="s">
        <v>241</v>
      </c>
      <c r="P56" t="s">
        <v>238</v>
      </c>
      <c r="Q56">
        <f t="shared" si="10"/>
        <v>201</v>
      </c>
    </row>
    <row r="57" spans="1:17">
      <c r="A57" t="str">
        <f t="shared" si="7"/>
        <v>L4000ts-UserData[4]</v>
      </c>
      <c r="B57" s="1" t="s">
        <v>235</v>
      </c>
      <c r="C57" s="1" t="str">
        <f t="shared" si="8"/>
        <v>%QB202</v>
      </c>
      <c r="E57" s="134"/>
      <c r="F57" s="23" t="str">
        <f t="shared" si="0"/>
        <v>L4000ts-UserData[4]</v>
      </c>
      <c r="G57" s="11" t="s">
        <v>235</v>
      </c>
      <c r="H57" s="4" t="str">
        <f t="shared" si="9"/>
        <v>%QB202</v>
      </c>
      <c r="M57" s="137"/>
      <c r="N57" s="11"/>
      <c r="O57" t="s">
        <v>242</v>
      </c>
      <c r="P57" t="s">
        <v>238</v>
      </c>
      <c r="Q57">
        <f t="shared" si="10"/>
        <v>202</v>
      </c>
    </row>
    <row r="58" spans="1:17">
      <c r="A58" t="str">
        <f t="shared" si="7"/>
        <v>L4000ts-UserData[5]</v>
      </c>
      <c r="B58" s="1" t="s">
        <v>235</v>
      </c>
      <c r="C58" s="1" t="str">
        <f t="shared" si="8"/>
        <v>%QB203</v>
      </c>
      <c r="E58" s="134"/>
      <c r="F58" s="23" t="str">
        <f t="shared" si="0"/>
        <v>L4000ts-UserData[5]</v>
      </c>
      <c r="G58" s="11" t="s">
        <v>235</v>
      </c>
      <c r="H58" s="4" t="str">
        <f t="shared" si="9"/>
        <v>%QB203</v>
      </c>
      <c r="M58" s="137"/>
      <c r="N58" s="11"/>
      <c r="O58" t="s">
        <v>243</v>
      </c>
      <c r="P58" t="s">
        <v>238</v>
      </c>
      <c r="Q58">
        <f t="shared" si="10"/>
        <v>203</v>
      </c>
    </row>
    <row r="59" spans="1:17">
      <c r="A59" t="str">
        <f t="shared" si="7"/>
        <v>L4000ts-UserData[6]</v>
      </c>
      <c r="B59" s="1" t="s">
        <v>235</v>
      </c>
      <c r="C59" s="1" t="str">
        <f t="shared" si="8"/>
        <v>%QB204</v>
      </c>
      <c r="E59" s="134"/>
      <c r="F59" s="23" t="str">
        <f t="shared" si="0"/>
        <v>L4000ts-UserData[6]</v>
      </c>
      <c r="G59" s="11" t="s">
        <v>235</v>
      </c>
      <c r="H59" s="4" t="str">
        <f t="shared" si="9"/>
        <v>%QB204</v>
      </c>
      <c r="M59" s="137"/>
      <c r="N59" s="11"/>
      <c r="O59" t="s">
        <v>244</v>
      </c>
      <c r="P59" t="s">
        <v>238</v>
      </c>
      <c r="Q59">
        <f t="shared" si="10"/>
        <v>204</v>
      </c>
    </row>
    <row r="60" spans="1:17">
      <c r="A60" t="str">
        <f t="shared" si="7"/>
        <v>L4000ts-UserData[7]</v>
      </c>
      <c r="B60" s="1" t="s">
        <v>235</v>
      </c>
      <c r="C60" s="1" t="str">
        <f t="shared" si="8"/>
        <v>%QB205</v>
      </c>
      <c r="E60" s="134"/>
      <c r="F60" s="23" t="str">
        <f t="shared" si="0"/>
        <v>L4000ts-UserData[7]</v>
      </c>
      <c r="G60" s="11" t="s">
        <v>235</v>
      </c>
      <c r="H60" s="4" t="str">
        <f t="shared" si="9"/>
        <v>%QB205</v>
      </c>
      <c r="M60" s="137"/>
      <c r="N60" s="11"/>
      <c r="O60" t="s">
        <v>245</v>
      </c>
      <c r="P60" t="s">
        <v>238</v>
      </c>
      <c r="Q60">
        <f t="shared" si="10"/>
        <v>205</v>
      </c>
    </row>
    <row r="61" spans="1:17">
      <c r="A61" t="str">
        <f t="shared" si="7"/>
        <v>L4000ts-UserData[8]</v>
      </c>
      <c r="B61" s="1" t="s">
        <v>235</v>
      </c>
      <c r="C61" s="1" t="str">
        <f t="shared" si="8"/>
        <v>%QB206</v>
      </c>
      <c r="E61" s="134"/>
      <c r="F61" s="23" t="str">
        <f t="shared" si="0"/>
        <v>L4000ts-UserData[8]</v>
      </c>
      <c r="G61" s="11" t="s">
        <v>235</v>
      </c>
      <c r="H61" s="4" t="str">
        <f t="shared" si="9"/>
        <v>%QB206</v>
      </c>
      <c r="M61" s="137"/>
      <c r="N61" s="11"/>
      <c r="O61" t="s">
        <v>246</v>
      </c>
      <c r="P61" t="s">
        <v>238</v>
      </c>
      <c r="Q61">
        <f t="shared" si="10"/>
        <v>206</v>
      </c>
    </row>
    <row r="62" spans="1:17">
      <c r="A62" t="str">
        <f t="shared" si="7"/>
        <v>L4000ts-UserData[9]</v>
      </c>
      <c r="B62" s="1" t="s">
        <v>235</v>
      </c>
      <c r="C62" s="1" t="str">
        <f t="shared" si="8"/>
        <v>%QB207</v>
      </c>
      <c r="E62" s="134"/>
      <c r="F62" s="23" t="str">
        <f t="shared" si="0"/>
        <v>L4000ts-UserData[9]</v>
      </c>
      <c r="G62" s="11" t="s">
        <v>235</v>
      </c>
      <c r="H62" s="4" t="str">
        <f t="shared" si="9"/>
        <v>%QB207</v>
      </c>
      <c r="M62" s="137"/>
      <c r="N62" s="11"/>
      <c r="O62" t="s">
        <v>247</v>
      </c>
      <c r="P62" t="s">
        <v>238</v>
      </c>
      <c r="Q62">
        <f t="shared" si="10"/>
        <v>207</v>
      </c>
    </row>
    <row r="63" spans="1:17">
      <c r="A63" t="str">
        <f t="shared" si="7"/>
        <v>L4000ts-UserData[10]</v>
      </c>
      <c r="B63" s="1" t="s">
        <v>235</v>
      </c>
      <c r="C63" s="1" t="str">
        <f t="shared" si="8"/>
        <v>%QB208</v>
      </c>
      <c r="E63" s="134"/>
      <c r="F63" s="23" t="str">
        <f t="shared" si="0"/>
        <v>L4000ts-UserData[10]</v>
      </c>
      <c r="G63" s="11" t="s">
        <v>235</v>
      </c>
      <c r="H63" s="4" t="str">
        <f t="shared" si="9"/>
        <v>%QB208</v>
      </c>
      <c r="M63" s="137"/>
      <c r="N63" s="11"/>
      <c r="O63" t="s">
        <v>248</v>
      </c>
      <c r="P63" t="s">
        <v>238</v>
      </c>
      <c r="Q63">
        <f t="shared" si="10"/>
        <v>208</v>
      </c>
    </row>
    <row r="64" spans="1:17">
      <c r="A64" t="str">
        <f t="shared" si="7"/>
        <v>L4000ts-UserData[11]</v>
      </c>
      <c r="B64" s="1" t="s">
        <v>235</v>
      </c>
      <c r="C64" s="1" t="str">
        <f t="shared" si="8"/>
        <v>%QB209</v>
      </c>
      <c r="E64" s="134"/>
      <c r="F64" s="23" t="str">
        <f t="shared" si="0"/>
        <v>L4000ts-UserData[11]</v>
      </c>
      <c r="G64" s="11" t="s">
        <v>235</v>
      </c>
      <c r="H64" s="4" t="str">
        <f t="shared" si="9"/>
        <v>%QB209</v>
      </c>
      <c r="M64" s="137"/>
      <c r="N64" s="11"/>
      <c r="O64" t="s">
        <v>249</v>
      </c>
      <c r="P64" t="s">
        <v>238</v>
      </c>
      <c r="Q64">
        <f t="shared" si="10"/>
        <v>209</v>
      </c>
    </row>
    <row r="65" spans="1:17">
      <c r="A65" t="str">
        <f t="shared" si="7"/>
        <v>L4000ts-UserData[12]</v>
      </c>
      <c r="B65" s="1" t="s">
        <v>235</v>
      </c>
      <c r="C65" s="1" t="str">
        <f t="shared" si="8"/>
        <v>%QB210</v>
      </c>
      <c r="E65" s="134"/>
      <c r="F65" s="23" t="str">
        <f t="shared" si="0"/>
        <v>L4000ts-UserData[12]</v>
      </c>
      <c r="G65" s="11" t="s">
        <v>235</v>
      </c>
      <c r="H65" s="4" t="str">
        <f t="shared" si="9"/>
        <v>%QB210</v>
      </c>
      <c r="M65" s="137"/>
      <c r="N65" s="11"/>
      <c r="O65" t="s">
        <v>250</v>
      </c>
      <c r="P65" t="s">
        <v>238</v>
      </c>
      <c r="Q65">
        <f t="shared" si="10"/>
        <v>210</v>
      </c>
    </row>
    <row r="66" spans="1:17">
      <c r="A66" t="str">
        <f t="shared" si="7"/>
        <v>L4000ts-UserData[13]</v>
      </c>
      <c r="B66" s="1" t="s">
        <v>235</v>
      </c>
      <c r="C66" s="1" t="str">
        <f t="shared" si="8"/>
        <v>%QB211</v>
      </c>
      <c r="E66" s="134"/>
      <c r="F66" s="23" t="str">
        <f t="shared" si="0"/>
        <v>L4000ts-UserData[13]</v>
      </c>
      <c r="G66" s="11" t="s">
        <v>235</v>
      </c>
      <c r="H66" s="4" t="str">
        <f t="shared" si="9"/>
        <v>%QB211</v>
      </c>
      <c r="M66" s="137"/>
      <c r="N66" s="11"/>
      <c r="O66" t="s">
        <v>251</v>
      </c>
      <c r="P66" t="s">
        <v>238</v>
      </c>
      <c r="Q66">
        <f t="shared" si="10"/>
        <v>211</v>
      </c>
    </row>
    <row r="67" spans="1:17">
      <c r="A67" t="str">
        <f t="shared" si="7"/>
        <v>L4000ts-UserData[14]</v>
      </c>
      <c r="B67" s="1" t="s">
        <v>235</v>
      </c>
      <c r="C67" s="1" t="str">
        <f t="shared" si="8"/>
        <v>%QB212</v>
      </c>
      <c r="E67" s="134"/>
      <c r="F67" s="23" t="str">
        <f t="shared" si="0"/>
        <v>L4000ts-UserData[14]</v>
      </c>
      <c r="G67" s="11" t="s">
        <v>235</v>
      </c>
      <c r="H67" s="4" t="str">
        <f t="shared" si="9"/>
        <v>%QB212</v>
      </c>
      <c r="M67" s="137"/>
      <c r="N67" s="11"/>
      <c r="O67" t="s">
        <v>252</v>
      </c>
      <c r="P67" t="s">
        <v>238</v>
      </c>
      <c r="Q67">
        <f t="shared" si="10"/>
        <v>212</v>
      </c>
    </row>
    <row r="68" spans="1:17">
      <c r="A68" t="str">
        <f t="shared" si="7"/>
        <v>L4000ts-UserData[15]</v>
      </c>
      <c r="B68" s="1" t="s">
        <v>235</v>
      </c>
      <c r="C68" s="1" t="str">
        <f t="shared" si="8"/>
        <v>%QB213</v>
      </c>
      <c r="E68" s="135"/>
      <c r="F68" s="23" t="str">
        <f t="shared" si="0"/>
        <v>L4000ts-UserData[15]</v>
      </c>
      <c r="G68" s="12" t="s">
        <v>235</v>
      </c>
      <c r="H68" s="20" t="str">
        <f t="shared" si="9"/>
        <v>%QB213</v>
      </c>
      <c r="M68" s="137"/>
      <c r="N68" s="11"/>
      <c r="O68" t="s">
        <v>253</v>
      </c>
      <c r="P68" t="s">
        <v>238</v>
      </c>
      <c r="Q68">
        <f t="shared" si="10"/>
        <v>213</v>
      </c>
    </row>
    <row r="69" spans="1:17">
      <c r="A69" t="str">
        <f>F37</f>
        <v>L4000ts-ExternalEvent[0]</v>
      </c>
      <c r="B69" s="1" t="s">
        <v>11</v>
      </c>
      <c r="C69" s="1" t="str">
        <f>H37</f>
        <v>%Q9.0</v>
      </c>
      <c r="E69" s="134" t="s">
        <v>195</v>
      </c>
      <c r="F69" s="23" t="str">
        <f t="shared" ref="F69:F86" si="11">$B$2&amp;"-"&amp;O69</f>
        <v>L4000ts-InspectionID</v>
      </c>
      <c r="G69" s="11" t="s">
        <v>87</v>
      </c>
      <c r="H69" s="4" t="str">
        <f t="shared" si="9"/>
        <v>%IW214</v>
      </c>
      <c r="M69" s="137"/>
      <c r="N69" s="87" t="s">
        <v>195</v>
      </c>
      <c r="O69" t="s">
        <v>254</v>
      </c>
      <c r="P69" t="s">
        <v>89</v>
      </c>
      <c r="Q69">
        <f>$B$15</f>
        <v>214</v>
      </c>
    </row>
    <row r="70" spans="1:17">
      <c r="A70" t="str">
        <f>F45</f>
        <v>L4000ts-ExternalEventAck[0]</v>
      </c>
      <c r="B70" s="1" t="s">
        <v>11</v>
      </c>
      <c r="C70" s="1" t="str">
        <f>H45</f>
        <v>%I5.0</v>
      </c>
      <c r="E70" s="134"/>
      <c r="F70" s="23" t="str">
        <f t="shared" si="11"/>
        <v>L4000ts-InspectionResultsCode</v>
      </c>
      <c r="G70" s="11" t="s">
        <v>22</v>
      </c>
      <c r="H70" s="4" t="str">
        <f t="shared" si="9"/>
        <v>%IW216</v>
      </c>
      <c r="M70" s="137"/>
      <c r="N70" s="11"/>
      <c r="O70" t="s">
        <v>255</v>
      </c>
      <c r="P70" t="s">
        <v>89</v>
      </c>
      <c r="Q70">
        <f>SUM($B$15+2)</f>
        <v>216</v>
      </c>
    </row>
    <row r="71" spans="1:17">
      <c r="A71" t="str">
        <f>F38</f>
        <v>L4000ts-ExternalEvent[1]</v>
      </c>
      <c r="B71" s="1" t="s">
        <v>11</v>
      </c>
      <c r="C71" s="1" t="str">
        <f>H38</f>
        <v>%Q9.1</v>
      </c>
      <c r="E71" s="134"/>
      <c r="F71" s="23" t="str">
        <f t="shared" si="11"/>
        <v>L4000ts-InspectionResults[0]</v>
      </c>
      <c r="G71" s="11" t="s">
        <v>235</v>
      </c>
      <c r="H71" s="4" t="str">
        <f t="shared" si="9"/>
        <v>%IB218</v>
      </c>
      <c r="M71" s="137"/>
      <c r="N71" s="11"/>
      <c r="O71" t="s">
        <v>256</v>
      </c>
      <c r="P71" t="s">
        <v>257</v>
      </c>
      <c r="Q71">
        <f>SUM(Q70+2)</f>
        <v>218</v>
      </c>
    </row>
    <row r="72" spans="1:17">
      <c r="A72" t="str">
        <f>F46</f>
        <v>L4000ts-ExternalEventAck[1]</v>
      </c>
      <c r="B72" s="1" t="s">
        <v>11</v>
      </c>
      <c r="C72" s="1" t="str">
        <f>H46</f>
        <v>%I5.1</v>
      </c>
      <c r="E72" s="134"/>
      <c r="F72" s="23" t="str">
        <f t="shared" si="11"/>
        <v>L4000ts-InspectionResults[1]</v>
      </c>
      <c r="G72" s="11" t="s">
        <v>235</v>
      </c>
      <c r="H72" s="4" t="str">
        <f t="shared" si="9"/>
        <v>%IB219</v>
      </c>
      <c r="M72" s="137"/>
      <c r="N72" s="11"/>
      <c r="O72" t="s">
        <v>258</v>
      </c>
      <c r="P72" t="s">
        <v>257</v>
      </c>
      <c r="Q72">
        <f t="shared" ref="Q72:Q86" si="12">SUM(Q71+1)</f>
        <v>219</v>
      </c>
    </row>
    <row r="73" spans="1:17">
      <c r="A73" t="str">
        <f>F39</f>
        <v>L4000ts-ExternalEvent[2]</v>
      </c>
      <c r="B73" s="1" t="s">
        <v>11</v>
      </c>
      <c r="C73" s="1" t="str">
        <f>H39</f>
        <v>%Q9.2</v>
      </c>
      <c r="E73" s="134"/>
      <c r="F73" s="23" t="str">
        <f t="shared" si="11"/>
        <v>L4000ts-InspectionResults[2]</v>
      </c>
      <c r="G73" s="11" t="s">
        <v>235</v>
      </c>
      <c r="H73" s="4" t="str">
        <f t="shared" si="9"/>
        <v>%IB220</v>
      </c>
      <c r="M73" s="137"/>
      <c r="N73" s="11"/>
      <c r="O73" t="s">
        <v>259</v>
      </c>
      <c r="P73" t="s">
        <v>257</v>
      </c>
      <c r="Q73">
        <f t="shared" si="12"/>
        <v>220</v>
      </c>
    </row>
    <row r="74" spans="1:17">
      <c r="A74" t="str">
        <f>F47</f>
        <v>L4000ts-ExternalEventAck[2]</v>
      </c>
      <c r="B74" s="1" t="s">
        <v>11</v>
      </c>
      <c r="C74" s="1" t="str">
        <f>H47</f>
        <v>%I5.2</v>
      </c>
      <c r="E74" s="134"/>
      <c r="F74" s="23" t="str">
        <f t="shared" si="11"/>
        <v>L4000ts-InspectionResults[3]</v>
      </c>
      <c r="G74" s="11" t="s">
        <v>235</v>
      </c>
      <c r="H74" s="4" t="str">
        <f t="shared" si="9"/>
        <v>%IB221</v>
      </c>
      <c r="M74" s="137"/>
      <c r="N74" s="11"/>
      <c r="O74" t="s">
        <v>260</v>
      </c>
      <c r="P74" t="s">
        <v>257</v>
      </c>
      <c r="Q74">
        <f t="shared" si="12"/>
        <v>221</v>
      </c>
    </row>
    <row r="75" spans="1:17">
      <c r="A75" t="str">
        <f>F40</f>
        <v>L4000ts-ExternalEvent[3]</v>
      </c>
      <c r="B75" s="1" t="s">
        <v>11</v>
      </c>
      <c r="C75" s="1" t="str">
        <f>H40</f>
        <v>%Q9.3</v>
      </c>
      <c r="E75" s="134"/>
      <c r="F75" s="23" t="str">
        <f t="shared" si="11"/>
        <v>L4000ts-InspectionResults[4]</v>
      </c>
      <c r="G75" s="11" t="s">
        <v>235</v>
      </c>
      <c r="H75" s="4" t="str">
        <f t="shared" si="9"/>
        <v>%IB222</v>
      </c>
      <c r="M75" s="29"/>
      <c r="N75" s="11"/>
      <c r="O75" t="s">
        <v>261</v>
      </c>
      <c r="P75" t="s">
        <v>257</v>
      </c>
      <c r="Q75">
        <f t="shared" si="12"/>
        <v>222</v>
      </c>
    </row>
    <row r="76" spans="1:17">
      <c r="A76" t="str">
        <f>F48</f>
        <v>L4000ts-ExternalEventAck[3]</v>
      </c>
      <c r="B76" s="1" t="s">
        <v>11</v>
      </c>
      <c r="C76" s="1" t="str">
        <f>H48</f>
        <v>%I5.3</v>
      </c>
      <c r="E76" s="134"/>
      <c r="F76" s="23" t="str">
        <f t="shared" si="11"/>
        <v>L4000ts-InspectionResults[5]</v>
      </c>
      <c r="G76" s="11" t="s">
        <v>235</v>
      </c>
      <c r="H76" s="4" t="str">
        <f t="shared" si="9"/>
        <v>%IB223</v>
      </c>
      <c r="N76" s="11"/>
      <c r="O76" t="s">
        <v>262</v>
      </c>
      <c r="P76" t="s">
        <v>257</v>
      </c>
      <c r="Q76">
        <f t="shared" si="12"/>
        <v>223</v>
      </c>
    </row>
    <row r="77" spans="1:17">
      <c r="A77" t="str">
        <f>F41</f>
        <v>L4000ts-ExternalEvent[4]</v>
      </c>
      <c r="B77" s="1" t="s">
        <v>11</v>
      </c>
      <c r="C77" s="1" t="str">
        <f>H41</f>
        <v>%Q9.4</v>
      </c>
      <c r="E77" s="134"/>
      <c r="F77" t="str">
        <f t="shared" si="11"/>
        <v>L4000ts-InspectionResults[6]</v>
      </c>
      <c r="G77" s="11" t="s">
        <v>235</v>
      </c>
      <c r="H77" s="4" t="str">
        <f t="shared" si="9"/>
        <v>%IB224</v>
      </c>
      <c r="N77" s="11"/>
      <c r="O77" t="s">
        <v>263</v>
      </c>
      <c r="P77" t="s">
        <v>257</v>
      </c>
      <c r="Q77">
        <f t="shared" si="12"/>
        <v>224</v>
      </c>
    </row>
    <row r="78" spans="1:17">
      <c r="A78" t="str">
        <f>F49</f>
        <v>L4000ts-ExternalEventAck[4]</v>
      </c>
      <c r="B78" s="1" t="s">
        <v>11</v>
      </c>
      <c r="C78" s="1" t="str">
        <f>H49</f>
        <v>%I5.4</v>
      </c>
      <c r="E78" s="134"/>
      <c r="F78" t="str">
        <f t="shared" si="11"/>
        <v>L4000ts-InspectionResults[7]</v>
      </c>
      <c r="G78" s="11" t="s">
        <v>235</v>
      </c>
      <c r="H78" s="4" t="str">
        <f t="shared" si="9"/>
        <v>%IB225</v>
      </c>
      <c r="N78" s="11"/>
      <c r="O78" t="s">
        <v>264</v>
      </c>
      <c r="P78" t="s">
        <v>257</v>
      </c>
      <c r="Q78">
        <f t="shared" si="12"/>
        <v>225</v>
      </c>
    </row>
    <row r="79" spans="1:17">
      <c r="A79" t="str">
        <f>F42</f>
        <v>L4000ts-ExternalEvent[5]</v>
      </c>
      <c r="B79" s="1" t="s">
        <v>11</v>
      </c>
      <c r="C79" s="1" t="str">
        <f>H42</f>
        <v>%Q9.5</v>
      </c>
      <c r="E79" s="134"/>
      <c r="F79" t="str">
        <f t="shared" si="11"/>
        <v>L4000ts-InspectionResults[8]</v>
      </c>
      <c r="G79" s="11" t="s">
        <v>235</v>
      </c>
      <c r="H79" s="4" t="str">
        <f t="shared" si="9"/>
        <v>%IB226</v>
      </c>
      <c r="N79" s="11"/>
      <c r="O79" t="s">
        <v>265</v>
      </c>
      <c r="P79" t="s">
        <v>257</v>
      </c>
      <c r="Q79">
        <f t="shared" si="12"/>
        <v>226</v>
      </c>
    </row>
    <row r="80" spans="1:17">
      <c r="A80" t="str">
        <f>F50</f>
        <v>L4000ts-ExternalEventAck[5]</v>
      </c>
      <c r="B80" s="1" t="s">
        <v>11</v>
      </c>
      <c r="C80" s="1" t="str">
        <f>H50</f>
        <v>%I5.5</v>
      </c>
      <c r="E80" s="134"/>
      <c r="F80" t="str">
        <f t="shared" si="11"/>
        <v>L4000ts-InspectionResults[9]</v>
      </c>
      <c r="G80" s="11" t="s">
        <v>235</v>
      </c>
      <c r="H80" s="4" t="str">
        <f t="shared" si="9"/>
        <v>%IB227</v>
      </c>
      <c r="N80" s="11"/>
      <c r="O80" t="s">
        <v>266</v>
      </c>
      <c r="P80" t="s">
        <v>257</v>
      </c>
      <c r="Q80">
        <f t="shared" si="12"/>
        <v>227</v>
      </c>
    </row>
    <row r="81" spans="1:17">
      <c r="A81" t="str">
        <f>F43</f>
        <v>L4000ts-ExternalEvent[6]</v>
      </c>
      <c r="B81" s="1" t="s">
        <v>11</v>
      </c>
      <c r="C81" s="1" t="str">
        <f>H43</f>
        <v>%Q9.6</v>
      </c>
      <c r="E81" s="134"/>
      <c r="F81" t="str">
        <f t="shared" si="11"/>
        <v>L4000ts-InspectionResults[10]</v>
      </c>
      <c r="G81" s="11" t="s">
        <v>235</v>
      </c>
      <c r="H81" s="4" t="str">
        <f t="shared" si="9"/>
        <v>%IB228</v>
      </c>
      <c r="N81" s="11"/>
      <c r="O81" t="s">
        <v>267</v>
      </c>
      <c r="P81" t="s">
        <v>257</v>
      </c>
      <c r="Q81">
        <f t="shared" si="12"/>
        <v>228</v>
      </c>
    </row>
    <row r="82" spans="1:17">
      <c r="A82" t="str">
        <f>F51</f>
        <v>L4000ts-ExternalEventAck[6]</v>
      </c>
      <c r="B82" s="1" t="s">
        <v>11</v>
      </c>
      <c r="C82" s="1" t="str">
        <f>H51</f>
        <v>%I5.6</v>
      </c>
      <c r="E82" s="134"/>
      <c r="F82" t="str">
        <f t="shared" si="11"/>
        <v>L4000ts-InspectionResults[11]</v>
      </c>
      <c r="G82" s="11" t="s">
        <v>235</v>
      </c>
      <c r="H82" s="4" t="str">
        <f t="shared" si="9"/>
        <v>%IB229</v>
      </c>
      <c r="N82" s="11"/>
      <c r="O82" t="s">
        <v>268</v>
      </c>
      <c r="P82" t="s">
        <v>257</v>
      </c>
      <c r="Q82">
        <f t="shared" si="12"/>
        <v>229</v>
      </c>
    </row>
    <row r="83" spans="1:17">
      <c r="A83" t="str">
        <f>F44</f>
        <v>L4000ts-ExternalEvent[7]</v>
      </c>
      <c r="B83" s="1" t="s">
        <v>11</v>
      </c>
      <c r="C83" s="1" t="str">
        <f>H44</f>
        <v>%Q9.7</v>
      </c>
      <c r="E83" s="134"/>
      <c r="F83" t="str">
        <f t="shared" si="11"/>
        <v>L4000ts-InspectionResults[12]</v>
      </c>
      <c r="G83" s="11" t="s">
        <v>235</v>
      </c>
      <c r="H83" s="4" t="str">
        <f t="shared" si="9"/>
        <v>%IB230</v>
      </c>
      <c r="N83" s="11"/>
      <c r="O83" t="s">
        <v>269</v>
      </c>
      <c r="P83" t="s">
        <v>257</v>
      </c>
      <c r="Q83">
        <f t="shared" si="12"/>
        <v>230</v>
      </c>
    </row>
    <row r="84" spans="1:17">
      <c r="A84" t="str">
        <f>F52</f>
        <v>L4000ts-ExternalEventAck[7]</v>
      </c>
      <c r="B84" s="1" t="s">
        <v>11</v>
      </c>
      <c r="C84" s="1" t="str">
        <f>H52</f>
        <v>%I5.7</v>
      </c>
      <c r="E84" s="134"/>
      <c r="F84" t="str">
        <f t="shared" si="11"/>
        <v>L4000ts-InspectionResults[13]</v>
      </c>
      <c r="G84" s="11" t="s">
        <v>235</v>
      </c>
      <c r="H84" s="4" t="str">
        <f t="shared" si="9"/>
        <v>%IB231</v>
      </c>
      <c r="N84" s="11"/>
      <c r="O84" t="s">
        <v>270</v>
      </c>
      <c r="P84" t="s">
        <v>257</v>
      </c>
      <c r="Q84">
        <f t="shared" si="12"/>
        <v>231</v>
      </c>
    </row>
    <row r="85" spans="1:17">
      <c r="A85" t="str">
        <f>F26</f>
        <v>L4000ts-ResultsValid</v>
      </c>
      <c r="B85" s="1" t="s">
        <v>11</v>
      </c>
      <c r="C85" s="1" t="str">
        <f>H26</f>
        <v>%I21.3</v>
      </c>
      <c r="E85" s="134"/>
      <c r="F85" t="str">
        <f t="shared" si="11"/>
        <v>L4000ts-InspectionResults[14]</v>
      </c>
      <c r="G85" s="11" t="s">
        <v>235</v>
      </c>
      <c r="H85" s="4" t="str">
        <f t="shared" si="9"/>
        <v>%IB232</v>
      </c>
      <c r="O85" t="s">
        <v>271</v>
      </c>
      <c r="P85" t="s">
        <v>257</v>
      </c>
      <c r="Q85">
        <f t="shared" si="12"/>
        <v>232</v>
      </c>
    </row>
    <row r="86" spans="1:17" ht="15" thickBot="1">
      <c r="A86" t="str">
        <f>F19</f>
        <v>L4000ts-InspectionResultsAck</v>
      </c>
      <c r="B86" s="1" t="s">
        <v>11</v>
      </c>
      <c r="C86" s="1" t="str">
        <f>H19</f>
        <v>%Q8.1</v>
      </c>
      <c r="E86" s="144"/>
      <c r="F86" s="5" t="str">
        <f t="shared" si="11"/>
        <v>L4000ts-InspectionResults[15]</v>
      </c>
      <c r="G86" s="13" t="s">
        <v>235</v>
      </c>
      <c r="H86" s="2" t="str">
        <f t="shared" si="9"/>
        <v>%IB233</v>
      </c>
      <c r="O86" t="s">
        <v>272</v>
      </c>
      <c r="P86" t="s">
        <v>257</v>
      </c>
      <c r="Q86">
        <f t="shared" si="12"/>
        <v>233</v>
      </c>
    </row>
    <row r="87" spans="1:17">
      <c r="A87" t="str">
        <f t="shared" ref="A87:A104" si="13">F69</f>
        <v>L4000ts-InspectionID</v>
      </c>
      <c r="B87" s="1" t="s">
        <v>87</v>
      </c>
      <c r="C87" s="1" t="str">
        <f t="shared" ref="C87:C104" si="14">H69</f>
        <v>%IW214</v>
      </c>
    </row>
    <row r="88" spans="1:17">
      <c r="A88" t="str">
        <f t="shared" si="13"/>
        <v>L4000ts-InspectionResultsCode</v>
      </c>
      <c r="B88" s="1" t="s">
        <v>22</v>
      </c>
      <c r="C88" s="1" t="str">
        <f t="shared" si="14"/>
        <v>%IW216</v>
      </c>
    </row>
    <row r="89" spans="1:17">
      <c r="A89" t="str">
        <f t="shared" si="13"/>
        <v>L4000ts-InspectionResults[0]</v>
      </c>
      <c r="B89" s="1" t="s">
        <v>235</v>
      </c>
      <c r="C89" s="1" t="str">
        <f t="shared" si="14"/>
        <v>%IB218</v>
      </c>
      <c r="D89" t="s">
        <v>526</v>
      </c>
    </row>
    <row r="90" spans="1:17">
      <c r="A90" t="str">
        <f t="shared" si="13"/>
        <v>L4000ts-InspectionResults[1]</v>
      </c>
      <c r="B90" s="1" t="s">
        <v>235</v>
      </c>
      <c r="C90" s="1" t="str">
        <f t="shared" si="14"/>
        <v>%IB219</v>
      </c>
    </row>
    <row r="91" spans="1:17">
      <c r="A91" t="str">
        <f t="shared" si="13"/>
        <v>L4000ts-InspectionResults[2]</v>
      </c>
      <c r="B91" s="1" t="s">
        <v>235</v>
      </c>
      <c r="C91" s="1" t="str">
        <f t="shared" si="14"/>
        <v>%IB220</v>
      </c>
    </row>
    <row r="92" spans="1:17">
      <c r="A92" t="str">
        <f t="shared" si="13"/>
        <v>L4000ts-InspectionResults[3]</v>
      </c>
      <c r="B92" s="1" t="s">
        <v>235</v>
      </c>
      <c r="C92" s="1" t="str">
        <f t="shared" si="14"/>
        <v>%IB221</v>
      </c>
    </row>
    <row r="93" spans="1:17">
      <c r="A93" t="str">
        <f t="shared" si="13"/>
        <v>L4000ts-InspectionResults[4]</v>
      </c>
      <c r="B93" s="1" t="s">
        <v>235</v>
      </c>
      <c r="C93" s="1" t="str">
        <f t="shared" si="14"/>
        <v>%IB222</v>
      </c>
    </row>
    <row r="94" spans="1:17">
      <c r="A94" t="str">
        <f t="shared" si="13"/>
        <v>L4000ts-InspectionResults[5]</v>
      </c>
      <c r="B94" s="1" t="s">
        <v>235</v>
      </c>
      <c r="C94" s="1" t="str">
        <f t="shared" si="14"/>
        <v>%IB223</v>
      </c>
    </row>
    <row r="95" spans="1:17">
      <c r="A95" t="str">
        <f t="shared" si="13"/>
        <v>L4000ts-InspectionResults[6]</v>
      </c>
      <c r="B95" s="1" t="s">
        <v>235</v>
      </c>
      <c r="C95" s="1" t="str">
        <f t="shared" si="14"/>
        <v>%IB224</v>
      </c>
    </row>
    <row r="96" spans="1:17">
      <c r="A96" t="str">
        <f t="shared" si="13"/>
        <v>L4000ts-InspectionResults[7]</v>
      </c>
      <c r="B96" s="1" t="s">
        <v>235</v>
      </c>
      <c r="C96" s="1" t="str">
        <f t="shared" si="14"/>
        <v>%IB225</v>
      </c>
    </row>
    <row r="97" spans="1:3">
      <c r="A97" t="str">
        <f t="shared" si="13"/>
        <v>L4000ts-InspectionResults[8]</v>
      </c>
      <c r="B97" s="1" t="s">
        <v>235</v>
      </c>
      <c r="C97" s="1" t="str">
        <f t="shared" si="14"/>
        <v>%IB226</v>
      </c>
    </row>
    <row r="98" spans="1:3">
      <c r="A98" t="str">
        <f t="shared" si="13"/>
        <v>L4000ts-InspectionResults[9]</v>
      </c>
      <c r="B98" s="1" t="s">
        <v>235</v>
      </c>
      <c r="C98" s="1" t="str">
        <f t="shared" si="14"/>
        <v>%IB227</v>
      </c>
    </row>
    <row r="99" spans="1:3">
      <c r="A99" t="str">
        <f t="shared" si="13"/>
        <v>L4000ts-InspectionResults[10]</v>
      </c>
      <c r="B99" s="1" t="s">
        <v>235</v>
      </c>
      <c r="C99" s="1" t="str">
        <f t="shared" si="14"/>
        <v>%IB228</v>
      </c>
    </row>
    <row r="100" spans="1:3">
      <c r="A100" t="str">
        <f t="shared" si="13"/>
        <v>L4000ts-InspectionResults[11]</v>
      </c>
      <c r="B100" s="1" t="s">
        <v>235</v>
      </c>
      <c r="C100" s="1" t="str">
        <f t="shared" si="14"/>
        <v>%IB229</v>
      </c>
    </row>
    <row r="101" spans="1:3">
      <c r="A101" t="str">
        <f t="shared" si="13"/>
        <v>L4000ts-InspectionResults[12]</v>
      </c>
      <c r="B101" s="1" t="s">
        <v>235</v>
      </c>
      <c r="C101" s="1" t="str">
        <f t="shared" si="14"/>
        <v>%IB230</v>
      </c>
    </row>
    <row r="102" spans="1:3">
      <c r="A102" t="str">
        <f t="shared" si="13"/>
        <v>L4000ts-InspectionResults[13]</v>
      </c>
      <c r="B102" s="1" t="s">
        <v>235</v>
      </c>
      <c r="C102" s="1" t="str">
        <f t="shared" si="14"/>
        <v>%IB231</v>
      </c>
    </row>
    <row r="103" spans="1:3">
      <c r="A103" t="str">
        <f t="shared" si="13"/>
        <v>L4000ts-InspectionResults[14]</v>
      </c>
      <c r="B103" s="1" t="s">
        <v>235</v>
      </c>
      <c r="C103" s="1" t="str">
        <f t="shared" si="14"/>
        <v>%IB232</v>
      </c>
    </row>
    <row r="104" spans="1:3">
      <c r="A104" t="str">
        <f t="shared" si="13"/>
        <v>L4000ts-InspectionResults[15]</v>
      </c>
      <c r="B104" s="1" t="s">
        <v>235</v>
      </c>
      <c r="C104" s="1" t="str">
        <f t="shared" si="14"/>
        <v>%IB233</v>
      </c>
    </row>
  </sheetData>
  <mergeCells count="21">
    <mergeCell ref="E5:E8"/>
    <mergeCell ref="M5:M74"/>
    <mergeCell ref="E9:E17"/>
    <mergeCell ref="A17:B17"/>
    <mergeCell ref="A18:B18"/>
    <mergeCell ref="A19:B19"/>
    <mergeCell ref="A20:B20"/>
    <mergeCell ref="A21:B21"/>
    <mergeCell ref="A22:B22"/>
    <mergeCell ref="A23:B23"/>
    <mergeCell ref="E37:E44"/>
    <mergeCell ref="E45:E52"/>
    <mergeCell ref="E53:E68"/>
    <mergeCell ref="E69:E86"/>
    <mergeCell ref="E18:E22"/>
    <mergeCell ref="E23:E34"/>
    <mergeCell ref="A2:A3"/>
    <mergeCell ref="B2:B3"/>
    <mergeCell ref="E3:E4"/>
    <mergeCell ref="F3:H3"/>
    <mergeCell ref="N3:Q3"/>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74"/>
  <sheetViews>
    <sheetView topLeftCell="A15" workbookViewId="0">
      <selection activeCell="C3" sqref="C3"/>
    </sheetView>
  </sheetViews>
  <sheetFormatPr defaultRowHeight="14.4"/>
  <cols>
    <col min="1" max="1" width="35" customWidth="1"/>
    <col min="2" max="2" width="21.44140625" customWidth="1"/>
    <col min="3" max="4" width="12.88671875" customWidth="1"/>
    <col min="5" max="5" width="30.6640625" customWidth="1"/>
    <col min="6" max="6" width="41.44140625" customWidth="1"/>
    <col min="7" max="8" width="10" customWidth="1"/>
    <col min="13" max="13" width="48.44140625" customWidth="1"/>
    <col min="14" max="14" width="30.6640625" customWidth="1"/>
    <col min="15" max="15" width="28.6640625" customWidth="1"/>
  </cols>
  <sheetData>
    <row r="1" spans="1:17" ht="15" thickBot="1">
      <c r="E1" s="175" t="s">
        <v>295</v>
      </c>
      <c r="F1" s="176"/>
      <c r="G1" s="176"/>
      <c r="H1" s="177"/>
    </row>
    <row r="2" spans="1:17" ht="15" thickBot="1">
      <c r="A2" s="123" t="s">
        <v>176</v>
      </c>
      <c r="B2" s="155" t="s">
        <v>296</v>
      </c>
      <c r="E2" s="178"/>
      <c r="F2" s="179"/>
      <c r="G2" s="179"/>
      <c r="H2" s="180"/>
    </row>
    <row r="3" spans="1:17" ht="15" thickBot="1">
      <c r="A3" s="124"/>
      <c r="B3" s="156"/>
      <c r="E3" s="173"/>
      <c r="F3" s="127" t="s">
        <v>2</v>
      </c>
      <c r="G3" s="160"/>
      <c r="H3" s="161"/>
      <c r="I3" s="1"/>
      <c r="N3" s="132" t="s">
        <v>3</v>
      </c>
      <c r="O3" s="132"/>
      <c r="P3" s="132"/>
      <c r="Q3" s="132"/>
    </row>
    <row r="4" spans="1:17" ht="15" thickBot="1">
      <c r="A4" s="11"/>
      <c r="B4" s="11"/>
      <c r="E4" s="174"/>
      <c r="F4" s="6" t="s">
        <v>4</v>
      </c>
      <c r="G4" s="6" t="s">
        <v>5</v>
      </c>
      <c r="H4" s="6" t="s">
        <v>6</v>
      </c>
      <c r="Q4" t="s">
        <v>7</v>
      </c>
    </row>
    <row r="5" spans="1:17" ht="16.2" thickBot="1">
      <c r="A5" s="7" t="s">
        <v>8</v>
      </c>
      <c r="B5" s="7" t="s">
        <v>9</v>
      </c>
      <c r="E5" s="168" t="s">
        <v>178</v>
      </c>
      <c r="F5" t="str">
        <f t="shared" ref="F5:F36" si="0">$B$2&amp;"-"&amp;O5</f>
        <v>is2000wall-TriggerEnable</v>
      </c>
      <c r="G5" s="11" t="s">
        <v>11</v>
      </c>
      <c r="H5" s="4" t="str">
        <f>P5&amp;$B$6&amp;"."&amp;Q5</f>
        <v>%Q13.0</v>
      </c>
      <c r="M5" s="136" t="s">
        <v>12</v>
      </c>
      <c r="N5" s="165" t="s">
        <v>178</v>
      </c>
      <c r="O5" t="s">
        <v>13</v>
      </c>
      <c r="P5" t="s">
        <v>14</v>
      </c>
      <c r="Q5" s="3">
        <v>0</v>
      </c>
    </row>
    <row r="6" spans="1:17">
      <c r="A6" s="8" t="s">
        <v>178</v>
      </c>
      <c r="B6" s="36">
        <v>13</v>
      </c>
      <c r="E6" s="154"/>
      <c r="F6" t="str">
        <f t="shared" si="0"/>
        <v>is2000wall-Trigger</v>
      </c>
      <c r="G6" s="11" t="s">
        <v>11</v>
      </c>
      <c r="H6" s="4" t="str">
        <f t="shared" ref="H6:H7" si="1">P6&amp;$B$6&amp;"."&amp;Q6</f>
        <v>%Q13.1</v>
      </c>
      <c r="M6" s="136"/>
      <c r="N6" s="165"/>
      <c r="O6" t="s">
        <v>179</v>
      </c>
      <c r="P6" t="s">
        <v>14</v>
      </c>
      <c r="Q6" s="3">
        <v>1</v>
      </c>
    </row>
    <row r="7" spans="1:17">
      <c r="A7" s="8" t="s">
        <v>180</v>
      </c>
      <c r="B7" s="37">
        <v>27</v>
      </c>
      <c r="E7" s="154"/>
      <c r="F7" t="str">
        <f t="shared" si="0"/>
        <v>is2000wall-SetOffline</v>
      </c>
      <c r="G7" s="11" t="s">
        <v>11</v>
      </c>
      <c r="H7" s="4" t="str">
        <f t="shared" si="1"/>
        <v>%Q13.7</v>
      </c>
      <c r="M7" s="136"/>
      <c r="N7" s="165"/>
      <c r="O7" t="s">
        <v>273</v>
      </c>
      <c r="P7" t="s">
        <v>14</v>
      </c>
      <c r="Q7" s="3">
        <v>7</v>
      </c>
    </row>
    <row r="8" spans="1:17">
      <c r="A8" s="8" t="s">
        <v>182</v>
      </c>
      <c r="B8" s="37">
        <v>14</v>
      </c>
      <c r="E8" s="154" t="s">
        <v>180</v>
      </c>
      <c r="F8" s="24" t="str">
        <f t="shared" si="0"/>
        <v>is2000wall-TriggerReady</v>
      </c>
      <c r="G8" s="10" t="s">
        <v>11</v>
      </c>
      <c r="H8" s="25" t="str">
        <f>P8&amp;$B$7&amp;"."&amp;Q8</f>
        <v>%I27.0</v>
      </c>
      <c r="M8" s="136"/>
      <c r="N8" s="165" t="s">
        <v>180</v>
      </c>
      <c r="O8" t="s">
        <v>185</v>
      </c>
      <c r="P8" t="s">
        <v>80</v>
      </c>
      <c r="Q8" s="3">
        <v>0</v>
      </c>
    </row>
    <row r="9" spans="1:17">
      <c r="A9" s="8" t="s">
        <v>184</v>
      </c>
      <c r="B9" s="37">
        <v>30</v>
      </c>
      <c r="E9" s="154"/>
      <c r="F9" t="str">
        <f t="shared" si="0"/>
        <v>is2000wall-TriggerAck</v>
      </c>
      <c r="G9" s="11" t="s">
        <v>11</v>
      </c>
      <c r="H9" s="4" t="str">
        <f t="shared" ref="H9:H15" si="2">P9&amp;$B$7&amp;"."&amp;Q9</f>
        <v>%I27.1</v>
      </c>
      <c r="M9" s="136"/>
      <c r="N9" s="165"/>
      <c r="O9" t="s">
        <v>187</v>
      </c>
      <c r="P9" t="s">
        <v>80</v>
      </c>
      <c r="Q9" s="3">
        <v>1</v>
      </c>
    </row>
    <row r="10" spans="1:17">
      <c r="A10" s="8" t="s">
        <v>274</v>
      </c>
      <c r="B10" s="37">
        <v>582</v>
      </c>
      <c r="E10" s="154"/>
      <c r="F10" t="str">
        <f t="shared" si="0"/>
        <v>is2000wall-Acquiring</v>
      </c>
      <c r="G10" s="11" t="s">
        <v>11</v>
      </c>
      <c r="H10" s="4" t="str">
        <f t="shared" si="2"/>
        <v>%I27.2</v>
      </c>
      <c r="M10" s="136"/>
      <c r="N10" s="165"/>
      <c r="O10" t="s">
        <v>297</v>
      </c>
      <c r="P10" t="s">
        <v>80</v>
      </c>
      <c r="Q10" s="3">
        <v>2</v>
      </c>
    </row>
    <row r="11" spans="1:17">
      <c r="A11" s="8" t="s">
        <v>275</v>
      </c>
      <c r="B11" s="37">
        <v>716</v>
      </c>
      <c r="E11" s="154"/>
      <c r="F11" t="str">
        <f t="shared" si="0"/>
        <v>is2000wall-MissedAcq</v>
      </c>
      <c r="G11" s="11" t="s">
        <v>11</v>
      </c>
      <c r="H11" s="4" t="str">
        <f t="shared" si="2"/>
        <v>%I27.3</v>
      </c>
      <c r="M11" s="136"/>
      <c r="N11" s="165"/>
      <c r="O11" t="s">
        <v>277</v>
      </c>
      <c r="P11" t="s">
        <v>80</v>
      </c>
      <c r="Q11" s="3">
        <v>3</v>
      </c>
    </row>
    <row r="12" spans="1:17">
      <c r="A12" s="8" t="s">
        <v>298</v>
      </c>
      <c r="B12" s="37">
        <v>15</v>
      </c>
      <c r="E12" s="154"/>
      <c r="F12" t="str">
        <f t="shared" si="0"/>
        <v>is2000wall-OfflineReason(0)</v>
      </c>
      <c r="G12" s="11" t="s">
        <v>11</v>
      </c>
      <c r="H12" s="4" t="str">
        <f t="shared" si="2"/>
        <v>%I27.4</v>
      </c>
      <c r="M12" s="136"/>
      <c r="N12" s="165"/>
      <c r="O12" t="s">
        <v>279</v>
      </c>
      <c r="P12" t="s">
        <v>80</v>
      </c>
      <c r="Q12" s="3">
        <v>4</v>
      </c>
    </row>
    <row r="13" spans="1:17">
      <c r="A13" s="8" t="s">
        <v>194</v>
      </c>
      <c r="B13" s="37">
        <v>584</v>
      </c>
      <c r="E13" s="154"/>
      <c r="F13" t="str">
        <f t="shared" si="0"/>
        <v>is2000wall-OfflineReason(1)</v>
      </c>
      <c r="G13" s="11" t="s">
        <v>11</v>
      </c>
      <c r="H13" s="4" t="str">
        <f t="shared" si="2"/>
        <v>%I27.5</v>
      </c>
      <c r="M13" s="136"/>
      <c r="N13" s="165"/>
      <c r="O13" t="s">
        <v>280</v>
      </c>
      <c r="P13" t="s">
        <v>80</v>
      </c>
      <c r="Q13" s="3">
        <v>5</v>
      </c>
    </row>
    <row r="14" spans="1:17" ht="15" thickBot="1">
      <c r="A14" s="9" t="s">
        <v>195</v>
      </c>
      <c r="B14" s="38">
        <v>718</v>
      </c>
      <c r="E14" s="154"/>
      <c r="F14" t="str">
        <f t="shared" si="0"/>
        <v>is2000wall-OfflineReason(2)</v>
      </c>
      <c r="G14" s="11" t="s">
        <v>11</v>
      </c>
      <c r="H14" s="4" t="str">
        <f t="shared" si="2"/>
        <v>%I27.6</v>
      </c>
      <c r="M14" s="136"/>
      <c r="N14" s="165"/>
      <c r="O14" t="s">
        <v>281</v>
      </c>
      <c r="P14" t="s">
        <v>80</v>
      </c>
      <c r="Q14" s="3">
        <v>6</v>
      </c>
    </row>
    <row r="15" spans="1:17">
      <c r="E15" s="154"/>
      <c r="F15" t="str">
        <f t="shared" si="0"/>
        <v>is2000wall-Online</v>
      </c>
      <c r="G15" s="11" t="s">
        <v>11</v>
      </c>
      <c r="H15" s="4" t="str">
        <f t="shared" si="2"/>
        <v>%I27.7</v>
      </c>
      <c r="M15" s="136"/>
      <c r="N15" s="165"/>
      <c r="O15" t="s">
        <v>161</v>
      </c>
      <c r="P15" t="s">
        <v>80</v>
      </c>
      <c r="Q15" s="3">
        <v>7</v>
      </c>
    </row>
    <row r="16" spans="1:17" ht="15" thickBot="1">
      <c r="E16" s="154"/>
      <c r="F16" t="str">
        <f t="shared" si="0"/>
        <v>is2000wall-AcquisitionID</v>
      </c>
      <c r="G16" s="11" t="s">
        <v>87</v>
      </c>
      <c r="H16" s="4" t="str">
        <f>P16&amp;Q16</f>
        <v>%IW28</v>
      </c>
      <c r="M16" s="136"/>
      <c r="N16" s="165"/>
      <c r="O16" t="s">
        <v>196</v>
      </c>
      <c r="P16" t="s">
        <v>89</v>
      </c>
      <c r="Q16" s="3">
        <f>SUM(B7+1)</f>
        <v>28</v>
      </c>
    </row>
    <row r="17" spans="1:17">
      <c r="A17" s="138" t="s">
        <v>40</v>
      </c>
      <c r="B17" s="139"/>
      <c r="E17" s="154" t="s">
        <v>182</v>
      </c>
      <c r="F17" s="24" t="str">
        <f t="shared" si="0"/>
        <v>is2000wall-BufferResultsEnable</v>
      </c>
      <c r="G17" s="10" t="s">
        <v>11</v>
      </c>
      <c r="H17" s="25" t="str">
        <f>P17&amp;$B$8&amp;"."&amp;Q17</f>
        <v>%Q14.0</v>
      </c>
      <c r="M17" s="136"/>
      <c r="N17" s="165" t="s">
        <v>182</v>
      </c>
      <c r="O17" t="s">
        <v>16</v>
      </c>
      <c r="P17" t="s">
        <v>14</v>
      </c>
      <c r="Q17" s="3">
        <v>0</v>
      </c>
    </row>
    <row r="18" spans="1:17">
      <c r="A18" s="140" t="s">
        <v>42</v>
      </c>
      <c r="B18" s="141"/>
      <c r="E18" s="154"/>
      <c r="F18" t="str">
        <f t="shared" si="0"/>
        <v>is2000wall-InspectionResultsAck</v>
      </c>
      <c r="G18" s="11" t="s">
        <v>11</v>
      </c>
      <c r="H18" s="4" t="str">
        <f t="shared" ref="H18:H20" si="3">P18&amp;$B$8&amp;"."&amp;Q18</f>
        <v>%Q14.1</v>
      </c>
      <c r="M18" s="136"/>
      <c r="N18" s="165"/>
      <c r="O18" t="s">
        <v>198</v>
      </c>
      <c r="P18" t="s">
        <v>14</v>
      </c>
      <c r="Q18" s="3">
        <v>1</v>
      </c>
    </row>
    <row r="19" spans="1:17">
      <c r="A19" s="140" t="s">
        <v>299</v>
      </c>
      <c r="B19" s="141"/>
      <c r="E19" s="154"/>
      <c r="F19" t="str">
        <f t="shared" si="0"/>
        <v>is2000wall-SetUserData</v>
      </c>
      <c r="G19" s="11" t="s">
        <v>11</v>
      </c>
      <c r="H19" s="4" t="str">
        <f t="shared" si="3"/>
        <v>%Q14.2</v>
      </c>
      <c r="M19" s="136"/>
      <c r="N19" s="165"/>
      <c r="O19" t="s">
        <v>200</v>
      </c>
      <c r="P19" t="s">
        <v>14</v>
      </c>
      <c r="Q19" s="3">
        <v>2</v>
      </c>
    </row>
    <row r="20" spans="1:17">
      <c r="A20" s="140" t="s">
        <v>300</v>
      </c>
      <c r="B20" s="141"/>
      <c r="E20" s="154"/>
      <c r="F20" t="str">
        <f t="shared" si="0"/>
        <v>is2000wall-ExecuteCommand/JobLoad</v>
      </c>
      <c r="G20" s="11" t="s">
        <v>11</v>
      </c>
      <c r="H20" s="4" t="str">
        <f t="shared" si="3"/>
        <v>%Q14.3</v>
      </c>
      <c r="M20" s="136"/>
      <c r="N20" s="165"/>
      <c r="O20" t="s">
        <v>201</v>
      </c>
      <c r="P20" t="s">
        <v>14</v>
      </c>
      <c r="Q20" s="3">
        <v>3</v>
      </c>
    </row>
    <row r="21" spans="1:17">
      <c r="A21" s="140" t="s">
        <v>49</v>
      </c>
      <c r="B21" s="141"/>
      <c r="E21" s="154" t="s">
        <v>184</v>
      </c>
      <c r="F21" s="24" t="str">
        <f t="shared" si="0"/>
        <v>is2000wall-Inspecting</v>
      </c>
      <c r="G21" s="10" t="s">
        <v>11</v>
      </c>
      <c r="H21" s="25" t="str">
        <f>P21&amp;$B$9&amp;"."&amp;Q21</f>
        <v>%I30.0</v>
      </c>
      <c r="M21" s="136"/>
      <c r="N21" s="165" t="s">
        <v>184</v>
      </c>
      <c r="O21" t="s">
        <v>301</v>
      </c>
      <c r="P21" t="s">
        <v>80</v>
      </c>
      <c r="Q21" s="3">
        <v>0</v>
      </c>
    </row>
    <row r="22" spans="1:17">
      <c r="A22" s="140" t="s">
        <v>51</v>
      </c>
      <c r="B22" s="141"/>
      <c r="E22" s="154"/>
      <c r="F22" t="str">
        <f t="shared" si="0"/>
        <v>is2000wall-InspectionCompleted</v>
      </c>
      <c r="G22" s="11" t="s">
        <v>11</v>
      </c>
      <c r="H22" s="4" t="str">
        <f t="shared" ref="H22:H28" si="4">P22&amp;$B$9&amp;"."&amp;Q22</f>
        <v>%I30.1</v>
      </c>
      <c r="M22" s="136"/>
      <c r="N22" s="165"/>
      <c r="O22" t="s">
        <v>203</v>
      </c>
      <c r="P22" t="s">
        <v>80</v>
      </c>
      <c r="Q22" s="3">
        <v>1</v>
      </c>
    </row>
    <row r="23" spans="1:17" ht="15" thickBot="1">
      <c r="A23" s="142" t="s">
        <v>53</v>
      </c>
      <c r="B23" s="143"/>
      <c r="E23" s="154"/>
      <c r="F23" t="str">
        <f t="shared" si="0"/>
        <v>is2000wall-ResultsBufferOverrun</v>
      </c>
      <c r="G23" s="11" t="s">
        <v>11</v>
      </c>
      <c r="H23" s="4" t="str">
        <f t="shared" si="4"/>
        <v>%I30.2</v>
      </c>
      <c r="M23" s="136"/>
      <c r="N23" s="165"/>
      <c r="O23" t="s">
        <v>204</v>
      </c>
      <c r="P23" t="s">
        <v>80</v>
      </c>
      <c r="Q23" s="3">
        <v>2</v>
      </c>
    </row>
    <row r="24" spans="1:17">
      <c r="E24" s="154"/>
      <c r="F24" t="str">
        <f t="shared" si="0"/>
        <v>is2000wall-ResultsValid</v>
      </c>
      <c r="G24" s="11" t="s">
        <v>11</v>
      </c>
      <c r="H24" s="4" t="str">
        <f t="shared" si="4"/>
        <v>%I30.3</v>
      </c>
      <c r="M24" s="136"/>
      <c r="N24" s="165"/>
      <c r="O24" t="s">
        <v>205</v>
      </c>
      <c r="P24" t="s">
        <v>80</v>
      </c>
      <c r="Q24" s="3">
        <v>3</v>
      </c>
    </row>
    <row r="25" spans="1:17">
      <c r="E25" s="154"/>
      <c r="F25" t="str">
        <f t="shared" si="0"/>
        <v>is2000wall-CommandExecuting</v>
      </c>
      <c r="G25" s="11" t="s">
        <v>11</v>
      </c>
      <c r="H25" s="4" t="str">
        <f t="shared" si="4"/>
        <v>%I30.4</v>
      </c>
      <c r="M25" s="136"/>
      <c r="N25" s="165"/>
      <c r="O25" t="s">
        <v>206</v>
      </c>
      <c r="P25" t="s">
        <v>80</v>
      </c>
      <c r="Q25" s="3">
        <v>4</v>
      </c>
    </row>
    <row r="26" spans="1:17">
      <c r="E26" s="154"/>
      <c r="F26" t="str">
        <f t="shared" si="0"/>
        <v>is2000wall-CommandCompleted</v>
      </c>
      <c r="G26" s="11" t="s">
        <v>11</v>
      </c>
      <c r="H26" s="4" t="str">
        <f t="shared" si="4"/>
        <v>%I30.5</v>
      </c>
      <c r="M26" s="136"/>
      <c r="N26" s="165"/>
      <c r="O26" t="s">
        <v>207</v>
      </c>
      <c r="P26" t="s">
        <v>80</v>
      </c>
      <c r="Q26" s="3">
        <v>5</v>
      </c>
    </row>
    <row r="27" spans="1:17">
      <c r="E27" s="154"/>
      <c r="F27" t="str">
        <f t="shared" si="0"/>
        <v>is2000wall-CommandFailed</v>
      </c>
      <c r="G27" s="11" t="s">
        <v>11</v>
      </c>
      <c r="H27" s="4" t="str">
        <f t="shared" si="4"/>
        <v>%I30.6</v>
      </c>
      <c r="M27" s="136"/>
      <c r="N27" s="165"/>
      <c r="O27" t="s">
        <v>208</v>
      </c>
      <c r="P27" t="s">
        <v>80</v>
      </c>
      <c r="Q27" s="3">
        <v>6</v>
      </c>
    </row>
    <row r="28" spans="1:17">
      <c r="E28" s="154"/>
      <c r="F28" t="str">
        <f t="shared" si="0"/>
        <v>is2000wall-SetUserDataAck</v>
      </c>
      <c r="G28" s="11" t="s">
        <v>11</v>
      </c>
      <c r="H28" s="4" t="str">
        <f t="shared" si="4"/>
        <v>%I30.7</v>
      </c>
      <c r="M28" s="136"/>
      <c r="N28" s="165"/>
      <c r="O28" t="s">
        <v>209</v>
      </c>
      <c r="P28" t="s">
        <v>80</v>
      </c>
      <c r="Q28" s="3">
        <v>7</v>
      </c>
    </row>
    <row r="29" spans="1:17">
      <c r="E29" s="154"/>
      <c r="F29" t="str">
        <f t="shared" si="0"/>
        <v>is2000wall-JobPass</v>
      </c>
      <c r="G29" s="11" t="s">
        <v>11</v>
      </c>
      <c r="H29" s="4" t="str">
        <f>P29&amp;SUM($B$9+1)&amp;"."&amp;Q29</f>
        <v>%I31.0</v>
      </c>
      <c r="M29" s="136"/>
      <c r="N29" s="165"/>
      <c r="O29" t="s">
        <v>283</v>
      </c>
      <c r="P29" t="s">
        <v>80</v>
      </c>
      <c r="Q29" s="3">
        <v>0</v>
      </c>
    </row>
    <row r="30" spans="1:17">
      <c r="E30" s="154"/>
      <c r="F30" t="str">
        <f t="shared" si="0"/>
        <v>is2000wall-TestRunReady</v>
      </c>
      <c r="G30" s="11" t="s">
        <v>11</v>
      </c>
      <c r="H30" s="4" t="str">
        <f>P30&amp;SUM($B$9+1)&amp;"."&amp;Q30</f>
        <v>%I31.1</v>
      </c>
      <c r="M30" s="136"/>
      <c r="N30" s="165"/>
      <c r="O30" t="s">
        <v>284</v>
      </c>
      <c r="P30" t="s">
        <v>80</v>
      </c>
      <c r="Q30" s="3">
        <v>1</v>
      </c>
    </row>
    <row r="31" spans="1:17">
      <c r="E31" s="111" t="s">
        <v>302</v>
      </c>
      <c r="F31" s="26" t="str">
        <f t="shared" si="0"/>
        <v>is2000wall-Command/JobControlInput</v>
      </c>
      <c r="G31" s="27" t="s">
        <v>235</v>
      </c>
      <c r="H31" s="28" t="str">
        <f>P31&amp;$B$10</f>
        <v>%QB582</v>
      </c>
      <c r="M31" s="136"/>
      <c r="N31" s="87" t="s">
        <v>302</v>
      </c>
      <c r="O31" t="s">
        <v>303</v>
      </c>
      <c r="P31" t="s">
        <v>238</v>
      </c>
    </row>
    <row r="32" spans="1:17">
      <c r="E32" s="111" t="s">
        <v>304</v>
      </c>
      <c r="F32" s="26" t="str">
        <f t="shared" si="0"/>
        <v>is2000wall-Command/JobControlOutput</v>
      </c>
      <c r="G32" s="27" t="s">
        <v>87</v>
      </c>
      <c r="H32" s="28" t="str">
        <f>P32&amp;$B$11</f>
        <v>%IW716</v>
      </c>
      <c r="M32" s="136"/>
      <c r="N32" s="87" t="s">
        <v>304</v>
      </c>
      <c r="O32" t="s">
        <v>305</v>
      </c>
      <c r="P32" t="s">
        <v>89</v>
      </c>
    </row>
    <row r="33" spans="5:17">
      <c r="E33" s="154" t="s">
        <v>306</v>
      </c>
      <c r="F33" s="24" t="str">
        <f t="shared" si="0"/>
        <v>is2000wall-SoftEvent(0)</v>
      </c>
      <c r="G33" s="10" t="s">
        <v>11</v>
      </c>
      <c r="H33" s="25" t="str">
        <f>P33&amp;$B$12&amp;"."&amp;Q33</f>
        <v>%Q15.0</v>
      </c>
      <c r="M33" s="136"/>
      <c r="N33" s="165" t="s">
        <v>306</v>
      </c>
      <c r="O33" t="s">
        <v>307</v>
      </c>
      <c r="P33" t="s">
        <v>14</v>
      </c>
      <c r="Q33" s="3">
        <v>0</v>
      </c>
    </row>
    <row r="34" spans="5:17">
      <c r="E34" s="154"/>
      <c r="F34" t="str">
        <f t="shared" si="0"/>
        <v>is2000wall-SoftEvent(1)</v>
      </c>
      <c r="G34" s="11" t="s">
        <v>11</v>
      </c>
      <c r="H34" s="4" t="str">
        <f t="shared" ref="H34:H40" si="5">P34&amp;$B$12&amp;"."&amp;Q34</f>
        <v>%Q15.1</v>
      </c>
      <c r="M34" s="136"/>
      <c r="N34" s="165"/>
      <c r="O34" t="s">
        <v>308</v>
      </c>
      <c r="P34" t="s">
        <v>14</v>
      </c>
      <c r="Q34" s="3">
        <v>1</v>
      </c>
    </row>
    <row r="35" spans="5:17">
      <c r="E35" s="154"/>
      <c r="F35" t="str">
        <f t="shared" si="0"/>
        <v>is2000wall-SoftEvent(2)</v>
      </c>
      <c r="G35" s="11" t="s">
        <v>11</v>
      </c>
      <c r="H35" s="4" t="str">
        <f t="shared" si="5"/>
        <v>%Q15.2</v>
      </c>
      <c r="M35" s="136"/>
      <c r="N35" s="165"/>
      <c r="O35" t="s">
        <v>309</v>
      </c>
      <c r="P35" t="s">
        <v>14</v>
      </c>
      <c r="Q35" s="3">
        <v>2</v>
      </c>
    </row>
    <row r="36" spans="5:17">
      <c r="E36" s="154"/>
      <c r="F36" t="str">
        <f t="shared" si="0"/>
        <v>is2000wall-SoftEvent(3)</v>
      </c>
      <c r="G36" s="11" t="s">
        <v>11</v>
      </c>
      <c r="H36" s="4" t="str">
        <f t="shared" si="5"/>
        <v>%Q15.3</v>
      </c>
      <c r="M36" s="136"/>
      <c r="N36" s="165"/>
      <c r="O36" t="s">
        <v>310</v>
      </c>
      <c r="P36" t="s">
        <v>14</v>
      </c>
      <c r="Q36" s="3">
        <v>3</v>
      </c>
    </row>
    <row r="37" spans="5:17">
      <c r="E37" s="154"/>
      <c r="F37" t="str">
        <f t="shared" ref="F37:F58" si="6">$B$2&amp;"-"&amp;O37</f>
        <v>is2000wall-SoftEvent(4)</v>
      </c>
      <c r="G37" s="11" t="s">
        <v>11</v>
      </c>
      <c r="H37" s="4" t="str">
        <f t="shared" si="5"/>
        <v>%Q15.4</v>
      </c>
      <c r="M37" s="136"/>
      <c r="N37" s="165"/>
      <c r="O37" t="s">
        <v>311</v>
      </c>
      <c r="P37" t="s">
        <v>14</v>
      </c>
      <c r="Q37" s="3">
        <v>4</v>
      </c>
    </row>
    <row r="38" spans="5:17">
      <c r="E38" s="154"/>
      <c r="F38" t="str">
        <f t="shared" si="6"/>
        <v>is2000wall-SoftEvent(5)</v>
      </c>
      <c r="G38" s="11" t="s">
        <v>11</v>
      </c>
      <c r="H38" s="4" t="str">
        <f t="shared" si="5"/>
        <v>%Q15.5</v>
      </c>
      <c r="M38" s="136"/>
      <c r="N38" s="165"/>
      <c r="O38" t="s">
        <v>312</v>
      </c>
      <c r="P38" t="s">
        <v>14</v>
      </c>
      <c r="Q38" s="3">
        <v>5</v>
      </c>
    </row>
    <row r="39" spans="5:17">
      <c r="E39" s="154"/>
      <c r="F39" t="str">
        <f t="shared" si="6"/>
        <v>is2000wall-SoftEvent(6)</v>
      </c>
      <c r="G39" s="11" t="s">
        <v>11</v>
      </c>
      <c r="H39" s="4" t="str">
        <f t="shared" si="5"/>
        <v>%Q15.6</v>
      </c>
      <c r="M39" s="136"/>
      <c r="N39" s="165"/>
      <c r="O39" t="s">
        <v>313</v>
      </c>
      <c r="P39" t="s">
        <v>14</v>
      </c>
      <c r="Q39" s="3">
        <v>6</v>
      </c>
    </row>
    <row r="40" spans="5:17" ht="15" thickBot="1">
      <c r="E40" s="162"/>
      <c r="F40" t="str">
        <f t="shared" si="6"/>
        <v>is2000wall-SoftEvent(7)</v>
      </c>
      <c r="G40" s="11" t="s">
        <v>11</v>
      </c>
      <c r="H40" s="4" t="str">
        <f t="shared" si="5"/>
        <v>%Q15.7</v>
      </c>
      <c r="M40" s="136"/>
      <c r="N40" s="165"/>
      <c r="O40" t="s">
        <v>314</v>
      </c>
      <c r="P40" t="s">
        <v>14</v>
      </c>
      <c r="Q40" s="3">
        <v>7</v>
      </c>
    </row>
    <row r="41" spans="5:17">
      <c r="E41" s="168" t="s">
        <v>194</v>
      </c>
      <c r="F41" s="23" t="str">
        <f t="shared" si="6"/>
        <v>is2000wall-UserData[0]</v>
      </c>
      <c r="G41" s="10" t="s">
        <v>235</v>
      </c>
      <c r="H41" s="25" t="str">
        <f>P41&amp;Q41</f>
        <v>%QB584</v>
      </c>
      <c r="M41" s="136"/>
      <c r="N41" s="165" t="s">
        <v>194</v>
      </c>
      <c r="O41" t="s">
        <v>237</v>
      </c>
      <c r="P41" t="s">
        <v>238</v>
      </c>
      <c r="Q41">
        <f>$B$13</f>
        <v>584</v>
      </c>
    </row>
    <row r="42" spans="5:17">
      <c r="E42" s="169"/>
      <c r="F42" t="str">
        <f t="shared" si="6"/>
        <v>is2000wall-UserData[1]</v>
      </c>
      <c r="G42" s="11" t="s">
        <v>235</v>
      </c>
      <c r="H42" s="4" t="str">
        <f t="shared" ref="H42:H56" si="7">P42&amp;Q42</f>
        <v>%QB585</v>
      </c>
      <c r="M42" s="136"/>
      <c r="N42" s="167"/>
      <c r="O42" t="s">
        <v>239</v>
      </c>
      <c r="P42" t="s">
        <v>238</v>
      </c>
      <c r="Q42">
        <f>SUM(Q41+1)</f>
        <v>585</v>
      </c>
    </row>
    <row r="43" spans="5:17">
      <c r="E43" s="169"/>
      <c r="F43" t="str">
        <f t="shared" si="6"/>
        <v>is2000wall-UserData[2]</v>
      </c>
      <c r="G43" s="11" t="s">
        <v>235</v>
      </c>
      <c r="H43" s="4" t="str">
        <f t="shared" si="7"/>
        <v>%QB586</v>
      </c>
      <c r="M43" s="136"/>
      <c r="N43" s="167"/>
      <c r="O43" t="s">
        <v>240</v>
      </c>
      <c r="P43" t="s">
        <v>238</v>
      </c>
      <c r="Q43">
        <f t="shared" ref="Q43:Q56" si="8">SUM(Q42+1)</f>
        <v>586</v>
      </c>
    </row>
    <row r="44" spans="5:17">
      <c r="E44" s="169"/>
      <c r="F44" t="str">
        <f t="shared" si="6"/>
        <v>is2000wall-UserData[3]</v>
      </c>
      <c r="G44" s="11" t="s">
        <v>235</v>
      </c>
      <c r="H44" s="4" t="str">
        <f t="shared" si="7"/>
        <v>%QB587</v>
      </c>
      <c r="M44" s="136"/>
      <c r="N44" s="167"/>
      <c r="O44" t="s">
        <v>241</v>
      </c>
      <c r="P44" t="s">
        <v>238</v>
      </c>
      <c r="Q44">
        <f t="shared" si="8"/>
        <v>587</v>
      </c>
    </row>
    <row r="45" spans="5:17">
      <c r="E45" s="169"/>
      <c r="F45" t="str">
        <f t="shared" si="6"/>
        <v>is2000wall-UserData[4]</v>
      </c>
      <c r="G45" s="11" t="s">
        <v>235</v>
      </c>
      <c r="H45" s="4" t="str">
        <f t="shared" si="7"/>
        <v>%QB588</v>
      </c>
      <c r="M45" s="136"/>
      <c r="N45" s="167"/>
      <c r="O45" t="s">
        <v>242</v>
      </c>
      <c r="P45" t="s">
        <v>238</v>
      </c>
      <c r="Q45">
        <f t="shared" si="8"/>
        <v>588</v>
      </c>
    </row>
    <row r="46" spans="5:17">
      <c r="E46" s="169"/>
      <c r="F46" t="str">
        <f t="shared" si="6"/>
        <v>is2000wall-UserData[5]</v>
      </c>
      <c r="G46" s="11" t="s">
        <v>235</v>
      </c>
      <c r="H46" s="4" t="str">
        <f t="shared" si="7"/>
        <v>%QB589</v>
      </c>
      <c r="M46" s="136"/>
      <c r="N46" s="167"/>
      <c r="O46" t="s">
        <v>243</v>
      </c>
      <c r="P46" t="s">
        <v>238</v>
      </c>
      <c r="Q46">
        <f t="shared" si="8"/>
        <v>589</v>
      </c>
    </row>
    <row r="47" spans="5:17">
      <c r="E47" s="169"/>
      <c r="F47" t="str">
        <f t="shared" si="6"/>
        <v>is2000wall-UserData[6]</v>
      </c>
      <c r="G47" s="11" t="s">
        <v>235</v>
      </c>
      <c r="H47" s="4" t="str">
        <f t="shared" si="7"/>
        <v>%QB590</v>
      </c>
      <c r="M47" s="136"/>
      <c r="N47" s="167"/>
      <c r="O47" t="s">
        <v>244</v>
      </c>
      <c r="P47" t="s">
        <v>238</v>
      </c>
      <c r="Q47">
        <f t="shared" si="8"/>
        <v>590</v>
      </c>
    </row>
    <row r="48" spans="5:17">
      <c r="E48" s="169"/>
      <c r="F48" t="str">
        <f t="shared" si="6"/>
        <v>is2000wall-UserData[7]</v>
      </c>
      <c r="G48" s="11" t="s">
        <v>235</v>
      </c>
      <c r="H48" s="4" t="str">
        <f t="shared" si="7"/>
        <v>%QB591</v>
      </c>
      <c r="M48" s="136"/>
      <c r="N48" s="167"/>
      <c r="O48" t="s">
        <v>245</v>
      </c>
      <c r="P48" t="s">
        <v>238</v>
      </c>
      <c r="Q48">
        <f t="shared" si="8"/>
        <v>591</v>
      </c>
    </row>
    <row r="49" spans="5:17">
      <c r="E49" s="169"/>
      <c r="F49" t="str">
        <f t="shared" si="6"/>
        <v>is2000wall-UserData[8]</v>
      </c>
      <c r="G49" s="11" t="s">
        <v>235</v>
      </c>
      <c r="H49" s="4" t="str">
        <f t="shared" si="7"/>
        <v>%QB592</v>
      </c>
      <c r="M49" s="136"/>
      <c r="N49" s="167"/>
      <c r="O49" t="s">
        <v>246</v>
      </c>
      <c r="P49" t="s">
        <v>238</v>
      </c>
      <c r="Q49">
        <f t="shared" si="8"/>
        <v>592</v>
      </c>
    </row>
    <row r="50" spans="5:17">
      <c r="E50" s="169"/>
      <c r="F50" t="str">
        <f t="shared" si="6"/>
        <v>is2000wall-UserData[9]</v>
      </c>
      <c r="G50" s="11" t="s">
        <v>235</v>
      </c>
      <c r="H50" s="4" t="str">
        <f t="shared" si="7"/>
        <v>%QB593</v>
      </c>
      <c r="M50" s="136"/>
      <c r="N50" s="167"/>
      <c r="O50" t="s">
        <v>247</v>
      </c>
      <c r="P50" t="s">
        <v>238</v>
      </c>
      <c r="Q50">
        <f t="shared" si="8"/>
        <v>593</v>
      </c>
    </row>
    <row r="51" spans="5:17">
      <c r="E51" s="169"/>
      <c r="F51" t="str">
        <f t="shared" si="6"/>
        <v>is2000wall-UserData[10]</v>
      </c>
      <c r="G51" s="11" t="s">
        <v>235</v>
      </c>
      <c r="H51" s="4" t="str">
        <f t="shared" si="7"/>
        <v>%QB594</v>
      </c>
      <c r="M51" s="136"/>
      <c r="N51" s="167"/>
      <c r="O51" t="s">
        <v>248</v>
      </c>
      <c r="P51" t="s">
        <v>238</v>
      </c>
      <c r="Q51">
        <f t="shared" si="8"/>
        <v>594</v>
      </c>
    </row>
    <row r="52" spans="5:17">
      <c r="E52" s="169"/>
      <c r="F52" t="str">
        <f t="shared" si="6"/>
        <v>is2000wall-UserData[11]</v>
      </c>
      <c r="G52" s="11" t="s">
        <v>235</v>
      </c>
      <c r="H52" s="4" t="str">
        <f t="shared" si="7"/>
        <v>%QB595</v>
      </c>
      <c r="M52" s="136"/>
      <c r="N52" s="167"/>
      <c r="O52" t="s">
        <v>249</v>
      </c>
      <c r="P52" t="s">
        <v>238</v>
      </c>
      <c r="Q52">
        <f t="shared" si="8"/>
        <v>595</v>
      </c>
    </row>
    <row r="53" spans="5:17">
      <c r="E53" s="169"/>
      <c r="F53" t="str">
        <f t="shared" si="6"/>
        <v>is2000wall-UserData[12]</v>
      </c>
      <c r="G53" s="11" t="s">
        <v>235</v>
      </c>
      <c r="H53" s="4" t="str">
        <f t="shared" si="7"/>
        <v>%QB596</v>
      </c>
      <c r="M53" s="136"/>
      <c r="N53" s="167"/>
      <c r="O53" t="s">
        <v>250</v>
      </c>
      <c r="P53" t="s">
        <v>238</v>
      </c>
      <c r="Q53">
        <f t="shared" si="8"/>
        <v>596</v>
      </c>
    </row>
    <row r="54" spans="5:17">
      <c r="E54" s="169"/>
      <c r="F54" t="str">
        <f t="shared" si="6"/>
        <v>is2000wall-UserData[13]</v>
      </c>
      <c r="G54" s="11" t="s">
        <v>235</v>
      </c>
      <c r="H54" s="4" t="str">
        <f t="shared" si="7"/>
        <v>%QB597</v>
      </c>
      <c r="M54" s="136"/>
      <c r="N54" s="167"/>
      <c r="O54" t="s">
        <v>251</v>
      </c>
      <c r="P54" t="s">
        <v>238</v>
      </c>
      <c r="Q54">
        <f t="shared" si="8"/>
        <v>597</v>
      </c>
    </row>
    <row r="55" spans="5:17">
      <c r="E55" s="169"/>
      <c r="F55" t="str">
        <f t="shared" si="6"/>
        <v>is2000wall-UserData[14]</v>
      </c>
      <c r="G55" s="11" t="s">
        <v>235</v>
      </c>
      <c r="H55" s="4" t="str">
        <f t="shared" si="7"/>
        <v>%QB598</v>
      </c>
      <c r="M55" s="136"/>
      <c r="N55" s="167"/>
      <c r="O55" t="s">
        <v>252</v>
      </c>
      <c r="P55" t="s">
        <v>238</v>
      </c>
      <c r="Q55">
        <f t="shared" si="8"/>
        <v>598</v>
      </c>
    </row>
    <row r="56" spans="5:17" ht="15" thickBot="1">
      <c r="E56" s="170"/>
      <c r="F56" s="19" t="str">
        <f t="shared" si="6"/>
        <v>is2000wall-UserData[15]</v>
      </c>
      <c r="G56" s="12" t="s">
        <v>235</v>
      </c>
      <c r="H56" s="20" t="str">
        <f t="shared" si="7"/>
        <v>%QB599</v>
      </c>
      <c r="M56" s="136"/>
      <c r="N56" s="167"/>
      <c r="O56" t="s">
        <v>253</v>
      </c>
      <c r="P56" t="s">
        <v>238</v>
      </c>
      <c r="Q56">
        <f t="shared" si="8"/>
        <v>599</v>
      </c>
    </row>
    <row r="57" spans="5:17">
      <c r="E57" s="171" t="s">
        <v>195</v>
      </c>
      <c r="F57" s="8" t="str">
        <f t="shared" si="6"/>
        <v>is2000wall-InspectionID</v>
      </c>
      <c r="G57" s="11" t="s">
        <v>87</v>
      </c>
      <c r="H57" s="4" t="str">
        <f>P57&amp;Q57</f>
        <v>%IW718</v>
      </c>
      <c r="M57" s="136"/>
      <c r="N57" s="165" t="s">
        <v>195</v>
      </c>
      <c r="O57" t="s">
        <v>254</v>
      </c>
      <c r="P57" t="s">
        <v>89</v>
      </c>
      <c r="Q57">
        <f>$B$14</f>
        <v>718</v>
      </c>
    </row>
    <row r="58" spans="5:17">
      <c r="E58" s="163"/>
      <c r="F58" s="8" t="str">
        <f t="shared" si="6"/>
        <v>is2000wall-InspectionResultsCode</v>
      </c>
      <c r="G58" s="11" t="s">
        <v>22</v>
      </c>
      <c r="H58" s="4" t="str">
        <f t="shared" ref="H58:H74" si="9">P58&amp;Q58</f>
        <v>%IW720</v>
      </c>
      <c r="M58" s="136"/>
      <c r="N58" s="167"/>
      <c r="O58" t="s">
        <v>255</v>
      </c>
      <c r="P58" t="s">
        <v>89</v>
      </c>
      <c r="Q58">
        <f>SUM($B$14+2)</f>
        <v>720</v>
      </c>
    </row>
    <row r="59" spans="5:17">
      <c r="E59" s="163"/>
      <c r="F59" s="8" t="str">
        <f t="shared" ref="F59:F74" si="10">$B$2&amp;"-"&amp;O59</f>
        <v>is2000wall-InspectionResults[0]</v>
      </c>
      <c r="G59" s="11" t="s">
        <v>235</v>
      </c>
      <c r="H59" s="4" t="str">
        <f t="shared" si="9"/>
        <v>%IB722</v>
      </c>
      <c r="M59" s="136"/>
      <c r="N59" s="167"/>
      <c r="O59" t="s">
        <v>256</v>
      </c>
      <c r="P59" t="s">
        <v>257</v>
      </c>
      <c r="Q59">
        <f>SUM(Q58+2)</f>
        <v>722</v>
      </c>
    </row>
    <row r="60" spans="5:17">
      <c r="E60" s="163"/>
      <c r="F60" s="8" t="str">
        <f t="shared" si="10"/>
        <v>is2000wall-InspectionResults[1]</v>
      </c>
      <c r="G60" s="11" t="s">
        <v>235</v>
      </c>
      <c r="H60" s="4" t="str">
        <f t="shared" si="9"/>
        <v>%IB723</v>
      </c>
      <c r="M60" s="136"/>
      <c r="N60" s="167"/>
      <c r="O60" t="s">
        <v>258</v>
      </c>
      <c r="P60" t="s">
        <v>257</v>
      </c>
      <c r="Q60">
        <f t="shared" ref="Q60:Q74" si="11">SUM(Q59+1)</f>
        <v>723</v>
      </c>
    </row>
    <row r="61" spans="5:17">
      <c r="E61" s="163"/>
      <c r="F61" s="8" t="str">
        <f t="shared" si="10"/>
        <v>is2000wall-InspectionResults[2]</v>
      </c>
      <c r="G61" s="11" t="s">
        <v>235</v>
      </c>
      <c r="H61" s="4" t="str">
        <f t="shared" si="9"/>
        <v>%IB724</v>
      </c>
      <c r="M61" s="136"/>
      <c r="N61" s="167"/>
      <c r="O61" t="s">
        <v>259</v>
      </c>
      <c r="P61" t="s">
        <v>257</v>
      </c>
      <c r="Q61">
        <f t="shared" si="11"/>
        <v>724</v>
      </c>
    </row>
    <row r="62" spans="5:17">
      <c r="E62" s="163"/>
      <c r="F62" s="8" t="str">
        <f t="shared" si="10"/>
        <v>is2000wall-InspectionResults[3]</v>
      </c>
      <c r="G62" s="11" t="s">
        <v>235</v>
      </c>
      <c r="H62" s="4" t="str">
        <f t="shared" si="9"/>
        <v>%IB725</v>
      </c>
      <c r="M62" s="136"/>
      <c r="N62" s="167"/>
      <c r="O62" t="s">
        <v>260</v>
      </c>
      <c r="P62" t="s">
        <v>257</v>
      </c>
      <c r="Q62">
        <f t="shared" si="11"/>
        <v>725</v>
      </c>
    </row>
    <row r="63" spans="5:17">
      <c r="E63" s="163"/>
      <c r="F63" s="8" t="str">
        <f t="shared" si="10"/>
        <v>is2000wall-InspectionResults[4]</v>
      </c>
      <c r="G63" s="11" t="s">
        <v>235</v>
      </c>
      <c r="H63" s="4" t="str">
        <f t="shared" si="9"/>
        <v>%IB726</v>
      </c>
      <c r="M63" s="136"/>
      <c r="N63" s="167"/>
      <c r="O63" t="s">
        <v>261</v>
      </c>
      <c r="P63" t="s">
        <v>257</v>
      </c>
      <c r="Q63">
        <f t="shared" si="11"/>
        <v>726</v>
      </c>
    </row>
    <row r="64" spans="5:17">
      <c r="E64" s="163"/>
      <c r="F64" s="8" t="str">
        <f t="shared" si="10"/>
        <v>is2000wall-InspectionResults[5]</v>
      </c>
      <c r="G64" s="11" t="s">
        <v>235</v>
      </c>
      <c r="H64" s="4" t="str">
        <f t="shared" si="9"/>
        <v>%IB727</v>
      </c>
      <c r="M64" s="136"/>
      <c r="N64" s="167"/>
      <c r="O64" t="s">
        <v>262</v>
      </c>
      <c r="P64" t="s">
        <v>257</v>
      </c>
      <c r="Q64">
        <f t="shared" si="11"/>
        <v>727</v>
      </c>
    </row>
    <row r="65" spans="5:17">
      <c r="E65" s="163"/>
      <c r="F65" s="8" t="str">
        <f t="shared" si="10"/>
        <v>is2000wall-InspectionResults[6]</v>
      </c>
      <c r="G65" s="11" t="s">
        <v>235</v>
      </c>
      <c r="H65" s="4" t="str">
        <f t="shared" si="9"/>
        <v>%IB728</v>
      </c>
      <c r="M65" s="136"/>
      <c r="N65" s="167"/>
      <c r="O65" t="s">
        <v>263</v>
      </c>
      <c r="P65" t="s">
        <v>257</v>
      </c>
      <c r="Q65">
        <f t="shared" si="11"/>
        <v>728</v>
      </c>
    </row>
    <row r="66" spans="5:17">
      <c r="E66" s="163"/>
      <c r="F66" s="8" t="str">
        <f t="shared" si="10"/>
        <v>is2000wall-InspectionResults[7]</v>
      </c>
      <c r="G66" s="11" t="s">
        <v>235</v>
      </c>
      <c r="H66" s="4" t="str">
        <f t="shared" si="9"/>
        <v>%IB729</v>
      </c>
      <c r="M66" s="136"/>
      <c r="N66" s="167"/>
      <c r="O66" t="s">
        <v>264</v>
      </c>
      <c r="P66" t="s">
        <v>257</v>
      </c>
      <c r="Q66">
        <f t="shared" si="11"/>
        <v>729</v>
      </c>
    </row>
    <row r="67" spans="5:17">
      <c r="E67" s="163"/>
      <c r="F67" s="8" t="str">
        <f t="shared" si="10"/>
        <v>is2000wall-InspectionResults[8]</v>
      </c>
      <c r="G67" s="11" t="s">
        <v>235</v>
      </c>
      <c r="H67" s="4" t="str">
        <f t="shared" si="9"/>
        <v>%IB730</v>
      </c>
      <c r="M67" s="136"/>
      <c r="N67" s="167"/>
      <c r="O67" t="s">
        <v>265</v>
      </c>
      <c r="P67" t="s">
        <v>257</v>
      </c>
      <c r="Q67">
        <f t="shared" si="11"/>
        <v>730</v>
      </c>
    </row>
    <row r="68" spans="5:17">
      <c r="E68" s="163"/>
      <c r="F68" s="8" t="str">
        <f t="shared" si="10"/>
        <v>is2000wall-InspectionResults[9]</v>
      </c>
      <c r="G68" s="11" t="s">
        <v>235</v>
      </c>
      <c r="H68" s="4" t="str">
        <f t="shared" si="9"/>
        <v>%IB731</v>
      </c>
      <c r="M68" s="136"/>
      <c r="N68" s="167"/>
      <c r="O68" t="s">
        <v>266</v>
      </c>
      <c r="P68" t="s">
        <v>257</v>
      </c>
      <c r="Q68">
        <f t="shared" si="11"/>
        <v>731</v>
      </c>
    </row>
    <row r="69" spans="5:17">
      <c r="E69" s="163"/>
      <c r="F69" s="8" t="str">
        <f t="shared" si="10"/>
        <v>is2000wall-InspectionResults[10]</v>
      </c>
      <c r="G69" s="11" t="s">
        <v>235</v>
      </c>
      <c r="H69" s="4" t="str">
        <f t="shared" si="9"/>
        <v>%IB732</v>
      </c>
      <c r="M69" s="136"/>
      <c r="N69" s="167"/>
      <c r="O69" t="s">
        <v>267</v>
      </c>
      <c r="P69" t="s">
        <v>257</v>
      </c>
      <c r="Q69">
        <f t="shared" si="11"/>
        <v>732</v>
      </c>
    </row>
    <row r="70" spans="5:17">
      <c r="E70" s="163"/>
      <c r="F70" s="8" t="str">
        <f t="shared" si="10"/>
        <v>is2000wall-InspectionResults[11]</v>
      </c>
      <c r="G70" s="11" t="s">
        <v>235</v>
      </c>
      <c r="H70" s="4" t="str">
        <f t="shared" si="9"/>
        <v>%IB733</v>
      </c>
      <c r="M70" s="136"/>
      <c r="N70" s="167"/>
      <c r="O70" t="s">
        <v>268</v>
      </c>
      <c r="P70" t="s">
        <v>257</v>
      </c>
      <c r="Q70">
        <f t="shared" si="11"/>
        <v>733</v>
      </c>
    </row>
    <row r="71" spans="5:17">
      <c r="E71" s="163"/>
      <c r="F71" s="8" t="str">
        <f t="shared" si="10"/>
        <v>is2000wall-InspectionResults[12]</v>
      </c>
      <c r="G71" s="11" t="s">
        <v>235</v>
      </c>
      <c r="H71" s="4" t="str">
        <f t="shared" si="9"/>
        <v>%IB734</v>
      </c>
      <c r="M71" s="136"/>
      <c r="N71" s="167"/>
      <c r="O71" t="s">
        <v>269</v>
      </c>
      <c r="P71" t="s">
        <v>257</v>
      </c>
      <c r="Q71">
        <f t="shared" si="11"/>
        <v>734</v>
      </c>
    </row>
    <row r="72" spans="5:17">
      <c r="E72" s="163"/>
      <c r="F72" s="8" t="str">
        <f t="shared" si="10"/>
        <v>is2000wall-InspectionResults[13]</v>
      </c>
      <c r="G72" s="11" t="s">
        <v>235</v>
      </c>
      <c r="H72" s="4" t="str">
        <f t="shared" si="9"/>
        <v>%IB735</v>
      </c>
      <c r="M72" s="136"/>
      <c r="N72" s="167"/>
      <c r="O72" t="s">
        <v>270</v>
      </c>
      <c r="P72" t="s">
        <v>257</v>
      </c>
      <c r="Q72">
        <f t="shared" si="11"/>
        <v>735</v>
      </c>
    </row>
    <row r="73" spans="5:17">
      <c r="E73" s="163"/>
      <c r="F73" s="8" t="str">
        <f t="shared" si="10"/>
        <v>is2000wall-InspectionResults[14]</v>
      </c>
      <c r="G73" s="11" t="s">
        <v>235</v>
      </c>
      <c r="H73" s="4" t="str">
        <f t="shared" si="9"/>
        <v>%IB736</v>
      </c>
      <c r="M73" s="136"/>
      <c r="O73" t="s">
        <v>271</v>
      </c>
      <c r="P73" t="s">
        <v>257</v>
      </c>
      <c r="Q73">
        <f t="shared" si="11"/>
        <v>736</v>
      </c>
    </row>
    <row r="74" spans="5:17" ht="15" thickBot="1">
      <c r="E74" s="172"/>
      <c r="F74" s="9" t="str">
        <f t="shared" si="10"/>
        <v>is2000wall-InspectionResults[15]</v>
      </c>
      <c r="G74" s="13" t="s">
        <v>235</v>
      </c>
      <c r="H74" s="2" t="str">
        <f t="shared" si="9"/>
        <v>%IB737</v>
      </c>
      <c r="M74" s="136"/>
      <c r="O74" t="s">
        <v>272</v>
      </c>
      <c r="P74" t="s">
        <v>257</v>
      </c>
      <c r="Q74">
        <f t="shared" si="11"/>
        <v>737</v>
      </c>
    </row>
  </sheetData>
  <mergeCells count="28">
    <mergeCell ref="E3:E4"/>
    <mergeCell ref="F3:H3"/>
    <mergeCell ref="A2:A3"/>
    <mergeCell ref="B2:B3"/>
    <mergeCell ref="E5:E7"/>
    <mergeCell ref="E1:H2"/>
    <mergeCell ref="N33:N40"/>
    <mergeCell ref="N57:N72"/>
    <mergeCell ref="E21:E30"/>
    <mergeCell ref="E33:E40"/>
    <mergeCell ref="E41:E56"/>
    <mergeCell ref="N41:N56"/>
    <mergeCell ref="E57:E74"/>
    <mergeCell ref="M5:M74"/>
    <mergeCell ref="E8:E16"/>
    <mergeCell ref="E17:E20"/>
    <mergeCell ref="N3:Q3"/>
    <mergeCell ref="N5:N7"/>
    <mergeCell ref="N8:N16"/>
    <mergeCell ref="N17:N20"/>
    <mergeCell ref="N21:N30"/>
    <mergeCell ref="A22:B22"/>
    <mergeCell ref="A23:B23"/>
    <mergeCell ref="A17:B17"/>
    <mergeCell ref="A18:B18"/>
    <mergeCell ref="A19:B19"/>
    <mergeCell ref="A20:B20"/>
    <mergeCell ref="A21:B2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6101F-B297-4E4D-836C-C862A781A42E}">
  <sheetPr codeName="Sheet1"/>
  <dimension ref="A1:W98"/>
  <sheetViews>
    <sheetView topLeftCell="A15" zoomScaleNormal="100" workbookViewId="0">
      <selection activeCell="C3" sqref="C3"/>
    </sheetView>
  </sheetViews>
  <sheetFormatPr defaultRowHeight="14.4"/>
  <cols>
    <col min="1" max="1" width="38" customWidth="1"/>
    <col min="2" max="2" width="38.88671875" customWidth="1"/>
    <col min="3" max="4" width="12.88671875" customWidth="1"/>
    <col min="5" max="5" width="30.6640625" style="1" customWidth="1"/>
    <col min="6" max="6" width="41.44140625" customWidth="1"/>
    <col min="7" max="8" width="10" customWidth="1"/>
    <col min="10" max="11" width="9.109375" customWidth="1"/>
    <col min="12" max="12" width="5.33203125" customWidth="1"/>
    <col min="13" max="13" width="45.6640625" customWidth="1"/>
    <col min="14" max="14" width="18.109375" style="16" customWidth="1"/>
    <col min="15" max="15" width="27.33203125" customWidth="1"/>
    <col min="18" max="18" width="32.33203125" customWidth="1"/>
    <col min="19" max="19" width="18.5546875" bestFit="1" customWidth="1"/>
    <col min="20" max="20" width="22.88671875" bestFit="1" customWidth="1"/>
    <col min="21" max="21" width="5.88671875" bestFit="1" customWidth="1"/>
    <col min="22" max="22" width="6.109375" customWidth="1"/>
  </cols>
  <sheetData>
    <row r="1" spans="1:23" ht="15" thickBot="1">
      <c r="B1" s="1"/>
    </row>
    <row r="2" spans="1:23" ht="15" thickBot="1">
      <c r="A2" s="123" t="s">
        <v>144</v>
      </c>
      <c r="B2" s="125" t="s">
        <v>145</v>
      </c>
    </row>
    <row r="3" spans="1:23" ht="15" thickBot="1">
      <c r="A3" s="124"/>
      <c r="B3" s="126"/>
      <c r="E3" s="127"/>
      <c r="F3" s="183" t="s">
        <v>2</v>
      </c>
      <c r="G3" s="184"/>
      <c r="H3" s="185"/>
      <c r="I3" s="1"/>
      <c r="N3" s="132" t="s">
        <v>3</v>
      </c>
      <c r="O3" s="132"/>
      <c r="P3" s="132"/>
      <c r="Q3" s="132"/>
      <c r="T3" s="132"/>
      <c r="U3" s="132"/>
      <c r="V3" s="132"/>
      <c r="W3" s="132"/>
    </row>
    <row r="4" spans="1:23" ht="15" thickBot="1">
      <c r="A4" s="11"/>
      <c r="B4" s="11"/>
      <c r="E4" s="182"/>
      <c r="F4" s="74" t="s">
        <v>4</v>
      </c>
      <c r="G4" s="75" t="s">
        <v>5</v>
      </c>
      <c r="H4" s="76" t="s">
        <v>6</v>
      </c>
      <c r="Q4" t="s">
        <v>7</v>
      </c>
    </row>
    <row r="5" spans="1:23" ht="15.6">
      <c r="A5" s="42" t="s">
        <v>8</v>
      </c>
      <c r="B5" s="43" t="s">
        <v>9</v>
      </c>
      <c r="E5" s="187" t="s">
        <v>10</v>
      </c>
      <c r="F5" s="71" t="str">
        <f t="shared" ref="F5:F9" si="0">$B$2&amp;"-"&amp;O5</f>
        <v>VIDIPC-TriggerEnable</v>
      </c>
      <c r="G5" s="60" t="s">
        <v>11</v>
      </c>
      <c r="H5" s="72" t="str">
        <f>P5&amp;$B$6&amp;"."&amp;Q5</f>
        <v>%Q1.0</v>
      </c>
      <c r="M5" s="136" t="s">
        <v>12</v>
      </c>
      <c r="N5" s="64" t="s">
        <v>146</v>
      </c>
      <c r="O5" t="s">
        <v>13</v>
      </c>
      <c r="P5" t="s">
        <v>14</v>
      </c>
      <c r="Q5" s="3">
        <v>0</v>
      </c>
      <c r="S5" s="15"/>
      <c r="V5" s="3"/>
    </row>
    <row r="6" spans="1:23">
      <c r="A6" s="63" t="s">
        <v>147</v>
      </c>
      <c r="B6" s="44">
        <v>1</v>
      </c>
      <c r="E6" s="188"/>
      <c r="F6" s="39" t="str">
        <f t="shared" si="0"/>
        <v>VIDIPC-BufferResultsEnable</v>
      </c>
      <c r="G6" s="70" t="s">
        <v>11</v>
      </c>
      <c r="H6" s="4" t="str">
        <f>P6&amp;$B$6&amp;"."&amp;Q6</f>
        <v>%Q1.1</v>
      </c>
      <c r="M6" s="137"/>
      <c r="N6" s="65" t="s">
        <v>10</v>
      </c>
      <c r="O6" t="s">
        <v>16</v>
      </c>
      <c r="P6" t="s">
        <v>14</v>
      </c>
      <c r="Q6" s="3">
        <v>1</v>
      </c>
      <c r="S6" s="15"/>
      <c r="V6" s="3"/>
    </row>
    <row r="7" spans="1:23">
      <c r="A7" s="58" t="s">
        <v>148</v>
      </c>
      <c r="B7" s="68">
        <f>B6+2</f>
        <v>3</v>
      </c>
      <c r="E7" s="188"/>
      <c r="F7" s="39" t="str">
        <f t="shared" si="0"/>
        <v>VIDIPC-ExecuteCommand</v>
      </c>
      <c r="G7" s="70" t="s">
        <v>11</v>
      </c>
      <c r="H7" s="4" t="str">
        <f>P7&amp;$B$6&amp;"."&amp;Q7</f>
        <v>%Q1.4</v>
      </c>
      <c r="M7" s="137"/>
      <c r="O7" t="s">
        <v>18</v>
      </c>
      <c r="P7" t="s">
        <v>14</v>
      </c>
      <c r="Q7">
        <v>4</v>
      </c>
    </row>
    <row r="8" spans="1:23">
      <c r="A8" s="58" t="s">
        <v>149</v>
      </c>
      <c r="B8" s="68">
        <f>B7+2</f>
        <v>5</v>
      </c>
      <c r="E8" s="188"/>
      <c r="F8" s="39" t="str">
        <f t="shared" si="0"/>
        <v>VIDIPC-ClearError</v>
      </c>
      <c r="G8" s="70" t="s">
        <v>11</v>
      </c>
      <c r="H8" s="4" t="str">
        <f>P8&amp;$B$6&amp;"."&amp;Q8</f>
        <v>%Q1.6</v>
      </c>
      <c r="M8" s="137"/>
      <c r="N8" s="65"/>
      <c r="O8" t="s">
        <v>20</v>
      </c>
      <c r="P8" t="s">
        <v>14</v>
      </c>
      <c r="Q8" s="3">
        <v>6</v>
      </c>
      <c r="S8" s="15"/>
      <c r="V8" s="3"/>
    </row>
    <row r="9" spans="1:23" ht="15" thickBot="1">
      <c r="A9" s="63" t="s">
        <v>21</v>
      </c>
      <c r="B9" s="66">
        <v>1</v>
      </c>
      <c r="E9" s="189"/>
      <c r="F9" s="49" t="str">
        <f t="shared" si="0"/>
        <v>VIDIPC-Set_Paused</v>
      </c>
      <c r="G9" s="73" t="s">
        <v>11</v>
      </c>
      <c r="H9" s="2" t="str">
        <f>P9&amp;$B$6&amp;"."&amp;Q9</f>
        <v>%Q1.7</v>
      </c>
      <c r="M9" s="137"/>
      <c r="O9" t="s">
        <v>150</v>
      </c>
      <c r="P9" t="s">
        <v>14</v>
      </c>
      <c r="Q9" s="3">
        <v>7</v>
      </c>
      <c r="S9" s="15"/>
    </row>
    <row r="10" spans="1:23" ht="15" thickBot="1">
      <c r="A10" s="63" t="s">
        <v>25</v>
      </c>
      <c r="B10" s="69">
        <f>B9+1</f>
        <v>2</v>
      </c>
      <c r="E10" s="106" t="s">
        <v>17</v>
      </c>
      <c r="F10" s="39" t="str">
        <f t="shared" ref="F10:F53" si="1">$B$2&amp;"-"&amp;O10</f>
        <v>VIDIPC-Command ID</v>
      </c>
      <c r="G10" s="40" t="s">
        <v>22</v>
      </c>
      <c r="H10" s="4" t="str">
        <f>P10&amp;($B$6+2)</f>
        <v>%QW3</v>
      </c>
      <c r="M10" s="137"/>
      <c r="N10" s="65" t="s">
        <v>17</v>
      </c>
      <c r="O10" t="s">
        <v>23</v>
      </c>
      <c r="P10" t="s">
        <v>24</v>
      </c>
      <c r="Q10" s="3">
        <v>2</v>
      </c>
      <c r="S10" s="15"/>
      <c r="V10" s="3"/>
    </row>
    <row r="11" spans="1:23">
      <c r="A11" s="63" t="s">
        <v>151</v>
      </c>
      <c r="B11" s="69">
        <f>B9+4</f>
        <v>5</v>
      </c>
      <c r="E11" s="181" t="s">
        <v>19</v>
      </c>
      <c r="F11" s="71" t="str">
        <f t="shared" si="1"/>
        <v>VIDIPC-SoftEvent[0]</v>
      </c>
      <c r="G11" s="77" t="s">
        <v>11</v>
      </c>
      <c r="H11" s="72" t="str">
        <f t="shared" ref="H11:H18" si="2">P11&amp;$B$8&amp;"."&amp;Q11</f>
        <v>%Q5.0</v>
      </c>
      <c r="M11" s="137"/>
      <c r="N11" s="65" t="s">
        <v>19</v>
      </c>
      <c r="O11" t="s">
        <v>26</v>
      </c>
      <c r="P11" t="s">
        <v>14</v>
      </c>
      <c r="Q11" s="3">
        <v>0</v>
      </c>
      <c r="V11" s="3"/>
    </row>
    <row r="12" spans="1:23">
      <c r="A12" s="63" t="s">
        <v>152</v>
      </c>
      <c r="B12" s="68">
        <f>B9+6</f>
        <v>7</v>
      </c>
      <c r="E12" s="134"/>
      <c r="F12" s="39" t="str">
        <f t="shared" si="1"/>
        <v>VIDIPC-SoftEvent[1]</v>
      </c>
      <c r="G12" s="40" t="s">
        <v>11</v>
      </c>
      <c r="H12" s="4" t="str">
        <f t="shared" si="2"/>
        <v>%Q5.1</v>
      </c>
      <c r="M12" s="137"/>
      <c r="O12" t="s">
        <v>28</v>
      </c>
      <c r="P12" t="s">
        <v>14</v>
      </c>
      <c r="Q12" s="3">
        <v>1</v>
      </c>
      <c r="V12" s="3"/>
    </row>
    <row r="13" spans="1:23">
      <c r="A13" s="63" t="s">
        <v>153</v>
      </c>
      <c r="B13" s="68">
        <f>B9+8</f>
        <v>9</v>
      </c>
      <c r="E13" s="134"/>
      <c r="F13" s="39" t="str">
        <f t="shared" si="1"/>
        <v>VIDIPC-SoftEvent[2]</v>
      </c>
      <c r="G13" s="40" t="s">
        <v>11</v>
      </c>
      <c r="H13" s="4" t="str">
        <f t="shared" si="2"/>
        <v>%Q5.2</v>
      </c>
      <c r="M13" s="137"/>
      <c r="O13" t="s">
        <v>30</v>
      </c>
      <c r="P13" t="s">
        <v>14</v>
      </c>
      <c r="Q13" s="3">
        <v>2</v>
      </c>
      <c r="V13" s="3"/>
    </row>
    <row r="14" spans="1:23">
      <c r="A14" s="63" t="s">
        <v>154</v>
      </c>
      <c r="B14" s="66">
        <v>17</v>
      </c>
      <c r="E14" s="134"/>
      <c r="F14" s="39" t="str">
        <f t="shared" si="1"/>
        <v>VIDIPC-SoftEvent[3]</v>
      </c>
      <c r="G14" s="40" t="s">
        <v>11</v>
      </c>
      <c r="H14" s="4" t="str">
        <f t="shared" si="2"/>
        <v>%Q5.3</v>
      </c>
      <c r="M14" s="137"/>
      <c r="O14" t="s">
        <v>32</v>
      </c>
      <c r="P14" t="s">
        <v>14</v>
      </c>
      <c r="Q14" s="3">
        <v>3</v>
      </c>
      <c r="V14" s="3"/>
    </row>
    <row r="15" spans="1:23">
      <c r="A15" s="63" t="s">
        <v>155</v>
      </c>
      <c r="B15" s="66">
        <v>17</v>
      </c>
      <c r="E15" s="134"/>
      <c r="F15" s="39" t="str">
        <f t="shared" si="1"/>
        <v>VIDIPC-SoftEvent[4]</v>
      </c>
      <c r="G15" s="40" t="s">
        <v>11</v>
      </c>
      <c r="H15" s="4" t="str">
        <f t="shared" si="2"/>
        <v>%Q5.4</v>
      </c>
      <c r="M15" s="137"/>
      <c r="O15" t="s">
        <v>34</v>
      </c>
      <c r="P15" t="s">
        <v>14</v>
      </c>
      <c r="Q15" s="3">
        <v>4</v>
      </c>
      <c r="V15" s="3"/>
    </row>
    <row r="16" spans="1:23">
      <c r="A16" s="58" t="s">
        <v>156</v>
      </c>
      <c r="B16" s="69">
        <f>B15+2</f>
        <v>19</v>
      </c>
      <c r="E16" s="134"/>
      <c r="F16" s="39" t="str">
        <f t="shared" si="1"/>
        <v>VIDIPC-SoftEvent[5]</v>
      </c>
      <c r="G16" s="40" t="s">
        <v>11</v>
      </c>
      <c r="H16" s="4" t="str">
        <f t="shared" si="2"/>
        <v>%Q5.5</v>
      </c>
      <c r="M16" s="137"/>
      <c r="O16" t="s">
        <v>36</v>
      </c>
      <c r="P16" t="s">
        <v>14</v>
      </c>
      <c r="Q16" s="3">
        <v>5</v>
      </c>
      <c r="V16" s="3"/>
    </row>
    <row r="17" spans="1:22">
      <c r="A17" s="58" t="s">
        <v>157</v>
      </c>
      <c r="B17" s="69">
        <f>B15+4</f>
        <v>21</v>
      </c>
      <c r="E17" s="134"/>
      <c r="F17" s="39" t="str">
        <f t="shared" si="1"/>
        <v>VIDIPC-SoftEvent[6]</v>
      </c>
      <c r="G17" s="40" t="s">
        <v>11</v>
      </c>
      <c r="H17" s="4" t="str">
        <f t="shared" si="2"/>
        <v>%Q5.6</v>
      </c>
      <c r="M17" s="137"/>
      <c r="O17" t="s">
        <v>38</v>
      </c>
      <c r="P17" t="s">
        <v>14</v>
      </c>
      <c r="Q17" s="3">
        <v>6</v>
      </c>
      <c r="V17" s="3"/>
    </row>
    <row r="18" spans="1:22" ht="15" thickBot="1">
      <c r="A18" s="58" t="s">
        <v>158</v>
      </c>
      <c r="B18" s="69">
        <f>B15+6</f>
        <v>23</v>
      </c>
      <c r="E18" s="144"/>
      <c r="F18" s="49" t="str">
        <f t="shared" si="1"/>
        <v>VIDIPC-SoftEvent[7]</v>
      </c>
      <c r="G18" s="50" t="s">
        <v>11</v>
      </c>
      <c r="H18" s="2" t="str">
        <f t="shared" si="2"/>
        <v>%Q5.7</v>
      </c>
      <c r="M18" s="137"/>
      <c r="O18" t="s">
        <v>39</v>
      </c>
      <c r="P18" t="s">
        <v>14</v>
      </c>
      <c r="Q18" s="3">
        <v>7</v>
      </c>
      <c r="V18" s="3"/>
    </row>
    <row r="19" spans="1:22">
      <c r="A19" s="63" t="s">
        <v>159</v>
      </c>
      <c r="B19" s="66">
        <v>64</v>
      </c>
      <c r="E19" s="181" t="s">
        <v>21</v>
      </c>
      <c r="F19" s="71" t="str">
        <f t="shared" si="1"/>
        <v>VIDIPC-Paused</v>
      </c>
      <c r="G19" s="77" t="s">
        <v>11</v>
      </c>
      <c r="H19" s="72" t="str">
        <f>P19&amp;$B$9&amp;"."&amp;Q19</f>
        <v>%I1.0</v>
      </c>
      <c r="M19" s="137"/>
      <c r="N19" s="65" t="s">
        <v>21</v>
      </c>
      <c r="O19" t="s">
        <v>160</v>
      </c>
      <c r="P19" t="s">
        <v>80</v>
      </c>
      <c r="Q19" s="3">
        <v>0</v>
      </c>
      <c r="V19" s="3"/>
    </row>
    <row r="20" spans="1:22" ht="15" thickBot="1">
      <c r="A20" s="112" t="s">
        <v>37</v>
      </c>
      <c r="B20" s="67">
        <v>68</v>
      </c>
      <c r="E20" s="134"/>
      <c r="F20" s="39" t="str">
        <f t="shared" si="1"/>
        <v>VIDIPC-Online</v>
      </c>
      <c r="G20" s="40" t="s">
        <v>11</v>
      </c>
      <c r="H20" s="4" t="str">
        <f>P20&amp;$B$9&amp;"."&amp;Q20</f>
        <v>%I1.6</v>
      </c>
      <c r="M20" s="137"/>
      <c r="O20" t="s">
        <v>161</v>
      </c>
      <c r="P20" t="s">
        <v>80</v>
      </c>
      <c r="Q20" s="3">
        <v>6</v>
      </c>
      <c r="V20" s="3"/>
    </row>
    <row r="21" spans="1:22" ht="15" thickBot="1">
      <c r="E21" s="144"/>
      <c r="F21" s="49" t="str">
        <f t="shared" si="1"/>
        <v>VIDIPC-Run_Mode</v>
      </c>
      <c r="G21" s="50" t="s">
        <v>11</v>
      </c>
      <c r="H21" s="2" t="str">
        <f>P21&amp;$B$9&amp;"."&amp;Q21</f>
        <v>%I1.7</v>
      </c>
      <c r="M21" s="137"/>
      <c r="O21" t="s">
        <v>82</v>
      </c>
      <c r="P21" t="s">
        <v>80</v>
      </c>
      <c r="Q21" s="3">
        <v>7</v>
      </c>
      <c r="V21" s="3"/>
    </row>
    <row r="22" spans="1:22">
      <c r="E22" s="181" t="s">
        <v>25</v>
      </c>
      <c r="F22" s="71" t="str">
        <f t="shared" si="1"/>
        <v>VIDIPC-Command_Executing</v>
      </c>
      <c r="G22" s="77" t="s">
        <v>11</v>
      </c>
      <c r="H22" s="72" t="str">
        <f>P22&amp;$B$10&amp;"."&amp;Q22</f>
        <v>%I2.4</v>
      </c>
      <c r="M22" s="137"/>
      <c r="N22" s="65" t="s">
        <v>25</v>
      </c>
      <c r="O22" t="s">
        <v>83</v>
      </c>
      <c r="P22" t="s">
        <v>80</v>
      </c>
      <c r="Q22" s="3">
        <v>4</v>
      </c>
      <c r="V22" s="3"/>
    </row>
    <row r="23" spans="1:22">
      <c r="E23" s="134"/>
      <c r="F23" s="39" t="str">
        <f t="shared" si="1"/>
        <v>VIDIPC-Command_Completetd</v>
      </c>
      <c r="G23" s="40" t="s">
        <v>11</v>
      </c>
      <c r="H23" s="4" t="str">
        <f>P23&amp;$B$10&amp;"."&amp;Q23</f>
        <v>%I2.5</v>
      </c>
      <c r="M23" s="137"/>
      <c r="O23" t="s">
        <v>84</v>
      </c>
      <c r="P23" t="s">
        <v>80</v>
      </c>
      <c r="Q23">
        <v>5</v>
      </c>
      <c r="V23" s="3"/>
    </row>
    <row r="24" spans="1:22">
      <c r="E24" s="134"/>
      <c r="F24" s="39" t="str">
        <f t="shared" si="1"/>
        <v>VIDIPC-Command_Failed</v>
      </c>
      <c r="G24" s="40" t="s">
        <v>11</v>
      </c>
      <c r="H24" s="4" t="str">
        <f>P24&amp;$B$10&amp;"."&amp;Q24</f>
        <v>%I2.6</v>
      </c>
      <c r="M24" s="137"/>
      <c r="O24" t="s">
        <v>85</v>
      </c>
      <c r="P24" t="s">
        <v>80</v>
      </c>
      <c r="Q24" s="3">
        <v>6</v>
      </c>
      <c r="V24" s="3"/>
    </row>
    <row r="25" spans="1:22" ht="15" thickBot="1">
      <c r="E25" s="144"/>
      <c r="F25" s="49" t="str">
        <f t="shared" si="1"/>
        <v>VIDIPC-Error</v>
      </c>
      <c r="G25" s="50" t="s">
        <v>11</v>
      </c>
      <c r="H25" s="2" t="str">
        <f>P25&amp;$B$10&amp;"."&amp;Q25</f>
        <v>%I2.7</v>
      </c>
      <c r="M25" s="137"/>
      <c r="O25" t="s">
        <v>86</v>
      </c>
      <c r="P25" t="s">
        <v>80</v>
      </c>
      <c r="Q25" s="3">
        <v>7</v>
      </c>
      <c r="V25" s="3"/>
    </row>
    <row r="26" spans="1:22" ht="15" thickBot="1">
      <c r="E26" s="78" t="s">
        <v>27</v>
      </c>
      <c r="F26" s="79" t="str">
        <f t="shared" si="1"/>
        <v>VIDIPC-Command_Result_Code</v>
      </c>
      <c r="G26" s="80" t="s">
        <v>87</v>
      </c>
      <c r="H26" s="81" t="str">
        <f>P26&amp;$B$11</f>
        <v>%IW5</v>
      </c>
      <c r="M26" s="137"/>
      <c r="N26" s="65" t="s">
        <v>27</v>
      </c>
      <c r="O26" t="s">
        <v>88</v>
      </c>
      <c r="P26" t="s">
        <v>89</v>
      </c>
      <c r="V26" s="3"/>
    </row>
    <row r="27" spans="1:22" ht="15" thickBot="1">
      <c r="E27" s="78" t="s">
        <v>29</v>
      </c>
      <c r="F27" s="79" t="str">
        <f t="shared" si="1"/>
        <v>VIDIPC-Error_ID</v>
      </c>
      <c r="G27" s="80" t="s">
        <v>87</v>
      </c>
      <c r="H27" s="81" t="str">
        <f>P27&amp;$B$12</f>
        <v>%IW7</v>
      </c>
      <c r="M27" s="137"/>
      <c r="N27" s="65" t="s">
        <v>29</v>
      </c>
      <c r="O27" t="s">
        <v>90</v>
      </c>
      <c r="P27" t="s">
        <v>89</v>
      </c>
      <c r="V27" s="3"/>
    </row>
    <row r="28" spans="1:22">
      <c r="E28" s="134" t="s">
        <v>31</v>
      </c>
      <c r="F28" s="39" t="str">
        <f t="shared" si="1"/>
        <v>VIDIPC-SoftEvent_ACK[0]</v>
      </c>
      <c r="G28" s="70" t="s">
        <v>11</v>
      </c>
      <c r="H28" s="4" t="str">
        <f t="shared" ref="H28:H35" si="3">P28&amp;$B$13&amp;"."&amp;Q28</f>
        <v>%I9.0</v>
      </c>
      <c r="M28" s="137"/>
      <c r="N28" s="65" t="s">
        <v>31</v>
      </c>
      <c r="O28" t="s">
        <v>92</v>
      </c>
      <c r="P28" t="s">
        <v>80</v>
      </c>
      <c r="Q28">
        <v>0</v>
      </c>
      <c r="V28" s="3"/>
    </row>
    <row r="29" spans="1:22">
      <c r="E29" s="134"/>
      <c r="F29" s="39" t="str">
        <f t="shared" si="1"/>
        <v>VIDIPC-SoftEvent_ACK[1]</v>
      </c>
      <c r="G29" s="70" t="s">
        <v>11</v>
      </c>
      <c r="H29" s="4" t="str">
        <f t="shared" si="3"/>
        <v>%I9.1</v>
      </c>
      <c r="M29" s="137"/>
      <c r="O29" t="s">
        <v>93</v>
      </c>
      <c r="P29" t="s">
        <v>80</v>
      </c>
      <c r="Q29">
        <v>1</v>
      </c>
      <c r="V29" s="3"/>
    </row>
    <row r="30" spans="1:22" ht="15" thickBot="1">
      <c r="E30" s="134"/>
      <c r="F30" s="39" t="str">
        <f t="shared" si="1"/>
        <v>VIDIPC-SoftEvent_ACK[2]</v>
      </c>
      <c r="G30" s="70" t="s">
        <v>11</v>
      </c>
      <c r="H30" s="4" t="str">
        <f t="shared" si="3"/>
        <v>%I9.2</v>
      </c>
      <c r="M30" s="137"/>
      <c r="O30" t="s">
        <v>94</v>
      </c>
      <c r="P30" t="s">
        <v>80</v>
      </c>
      <c r="Q30">
        <v>2</v>
      </c>
      <c r="V30" s="3"/>
    </row>
    <row r="31" spans="1:22">
      <c r="A31" s="138" t="s">
        <v>40</v>
      </c>
      <c r="B31" s="139"/>
      <c r="E31" s="134"/>
      <c r="F31" s="39" t="str">
        <f t="shared" si="1"/>
        <v>VIDIPC-SoftEvent_ACK[3]</v>
      </c>
      <c r="G31" s="70" t="s">
        <v>11</v>
      </c>
      <c r="H31" s="4" t="str">
        <f t="shared" si="3"/>
        <v>%I9.3</v>
      </c>
      <c r="M31" s="137"/>
      <c r="O31" t="s">
        <v>95</v>
      </c>
      <c r="P31" t="s">
        <v>80</v>
      </c>
      <c r="Q31">
        <v>3</v>
      </c>
      <c r="V31" s="3"/>
    </row>
    <row r="32" spans="1:22">
      <c r="A32" s="140" t="s">
        <v>42</v>
      </c>
      <c r="B32" s="141"/>
      <c r="E32" s="134"/>
      <c r="F32" s="39" t="str">
        <f t="shared" si="1"/>
        <v>VIDIPC-SoftEvent_ACK[4]</v>
      </c>
      <c r="G32" s="70" t="s">
        <v>11</v>
      </c>
      <c r="H32" s="4" t="str">
        <f t="shared" si="3"/>
        <v>%I9.4</v>
      </c>
      <c r="M32" s="137"/>
      <c r="O32" t="s">
        <v>96</v>
      </c>
      <c r="P32" t="s">
        <v>80</v>
      </c>
      <c r="Q32">
        <v>4</v>
      </c>
      <c r="V32" s="3"/>
    </row>
    <row r="33" spans="1:22">
      <c r="A33" s="140" t="s">
        <v>162</v>
      </c>
      <c r="B33" s="141"/>
      <c r="E33" s="134"/>
      <c r="F33" s="39" t="str">
        <f t="shared" si="1"/>
        <v>VIDIPC-SoftEvent_ACK[5]</v>
      </c>
      <c r="G33" s="70" t="s">
        <v>11</v>
      </c>
      <c r="H33" s="4" t="str">
        <f t="shared" si="3"/>
        <v>%I9.5</v>
      </c>
      <c r="M33" s="137"/>
      <c r="O33" t="s">
        <v>97</v>
      </c>
      <c r="P33" t="s">
        <v>80</v>
      </c>
      <c r="Q33">
        <v>5</v>
      </c>
      <c r="V33" s="3"/>
    </row>
    <row r="34" spans="1:22">
      <c r="A34" s="140" t="s">
        <v>163</v>
      </c>
      <c r="B34" s="141"/>
      <c r="E34" s="134"/>
      <c r="F34" s="39" t="str">
        <f t="shared" si="1"/>
        <v>VIDIPC-SoftEvent_ACK[6]</v>
      </c>
      <c r="G34" s="70" t="s">
        <v>11</v>
      </c>
      <c r="H34" s="4" t="str">
        <f t="shared" si="3"/>
        <v>%I9.6</v>
      </c>
      <c r="M34" s="137"/>
      <c r="O34" t="s">
        <v>98</v>
      </c>
      <c r="P34" t="s">
        <v>80</v>
      </c>
      <c r="Q34">
        <v>6</v>
      </c>
      <c r="V34" s="3"/>
    </row>
    <row r="35" spans="1:22" ht="15" thickBot="1">
      <c r="A35" s="140" t="s">
        <v>49</v>
      </c>
      <c r="B35" s="141"/>
      <c r="E35" s="144"/>
      <c r="F35" s="39" t="str">
        <f t="shared" si="1"/>
        <v>VIDIPC-SoftEvent_ACK[7]</v>
      </c>
      <c r="G35" s="70" t="s">
        <v>11</v>
      </c>
      <c r="H35" s="4" t="str">
        <f t="shared" si="3"/>
        <v>%I9.7</v>
      </c>
      <c r="M35" s="137"/>
      <c r="O35" t="s">
        <v>99</v>
      </c>
      <c r="P35" t="s">
        <v>80</v>
      </c>
      <c r="Q35">
        <v>7</v>
      </c>
      <c r="V35" s="3"/>
    </row>
    <row r="36" spans="1:22">
      <c r="A36" s="140" t="s">
        <v>51</v>
      </c>
      <c r="B36" s="141"/>
      <c r="E36" s="181" t="s">
        <v>33</v>
      </c>
      <c r="F36" s="71" t="str">
        <f t="shared" si="1"/>
        <v>VIDIPC-Trigger_Camera</v>
      </c>
      <c r="G36" s="60" t="s">
        <v>11</v>
      </c>
      <c r="H36" s="72" t="str">
        <f>P36&amp;$B$14&amp;"."&amp;Q36</f>
        <v>%Q17.0</v>
      </c>
      <c r="M36" s="137"/>
      <c r="N36" s="64" t="s">
        <v>164</v>
      </c>
      <c r="O36" t="s">
        <v>127</v>
      </c>
      <c r="P36" t="s">
        <v>14</v>
      </c>
      <c r="Q36">
        <v>0</v>
      </c>
      <c r="V36" s="3"/>
    </row>
    <row r="37" spans="1:22" ht="15" thickBot="1">
      <c r="A37" s="142" t="s">
        <v>53</v>
      </c>
      <c r="B37" s="143"/>
      <c r="E37" s="134"/>
      <c r="F37" s="39" t="str">
        <f t="shared" si="1"/>
        <v>VIDIPC-Inspection_Results_ACK</v>
      </c>
      <c r="G37" s="70" t="s">
        <v>11</v>
      </c>
      <c r="H37" s="4" t="str">
        <f>P37&amp;$B$14&amp;"."&amp;Q37</f>
        <v>%Q17.1</v>
      </c>
      <c r="M37" s="137"/>
      <c r="N37" s="65" t="s">
        <v>33</v>
      </c>
      <c r="O37" t="s">
        <v>128</v>
      </c>
      <c r="P37" t="s">
        <v>14</v>
      </c>
      <c r="Q37">
        <v>1</v>
      </c>
      <c r="V37" s="3"/>
    </row>
    <row r="38" spans="1:22">
      <c r="E38" s="134"/>
      <c r="F38" s="39" t="str">
        <f t="shared" si="1"/>
        <v>VIDIPC-Clear_Exposure_Complete</v>
      </c>
      <c r="G38" s="70" t="s">
        <v>11</v>
      </c>
      <c r="H38" s="4" t="str">
        <f>P38&amp;$B$14&amp;"."&amp;Q38</f>
        <v>%Q17.2</v>
      </c>
      <c r="M38" s="137"/>
      <c r="O38" t="s">
        <v>165</v>
      </c>
      <c r="P38" t="s">
        <v>14</v>
      </c>
      <c r="Q38">
        <v>2</v>
      </c>
      <c r="V38" s="3"/>
    </row>
    <row r="39" spans="1:22" ht="15" thickBot="1">
      <c r="A39" s="190"/>
      <c r="B39" s="190"/>
      <c r="E39" s="144"/>
      <c r="F39" s="49" t="str">
        <f t="shared" si="1"/>
        <v>VIDIPC-Set_User_Data</v>
      </c>
      <c r="G39" s="73" t="s">
        <v>11</v>
      </c>
      <c r="H39" s="2" t="str">
        <f>P39&amp;$B$14&amp;"."&amp;Q39</f>
        <v>%Q17.3</v>
      </c>
      <c r="M39" s="137"/>
      <c r="O39" t="s">
        <v>166</v>
      </c>
      <c r="P39" t="s">
        <v>14</v>
      </c>
      <c r="Q39">
        <v>3</v>
      </c>
      <c r="V39" s="3"/>
    </row>
    <row r="40" spans="1:22">
      <c r="A40" s="186"/>
      <c r="B40" s="186"/>
      <c r="E40" s="181" t="s">
        <v>129</v>
      </c>
      <c r="F40" s="71" t="str">
        <f t="shared" si="1"/>
        <v>VIDIPC-Trigger_Ready</v>
      </c>
      <c r="G40" s="77" t="s">
        <v>11</v>
      </c>
      <c r="H40" s="72" t="str">
        <f t="shared" ref="H40:H47" si="4">P40&amp;$B$15&amp;"."&amp;Q40</f>
        <v>%I17.0</v>
      </c>
      <c r="M40" s="137"/>
      <c r="N40" s="65" t="s">
        <v>35</v>
      </c>
      <c r="O40" t="s">
        <v>130</v>
      </c>
      <c r="P40" t="s">
        <v>80</v>
      </c>
      <c r="Q40" s="3">
        <v>0</v>
      </c>
      <c r="V40" s="3"/>
    </row>
    <row r="41" spans="1:22">
      <c r="A41" s="186"/>
      <c r="B41" s="186"/>
      <c r="E41" s="134"/>
      <c r="F41" s="39" t="str">
        <f t="shared" si="1"/>
        <v>VIDIPC-Trigger_ACK</v>
      </c>
      <c r="G41" s="40" t="s">
        <v>11</v>
      </c>
      <c r="H41" s="4" t="str">
        <f t="shared" si="4"/>
        <v>%I17.1</v>
      </c>
      <c r="M41" s="137"/>
      <c r="N41" s="65"/>
      <c r="O41" t="s">
        <v>131</v>
      </c>
      <c r="P41" t="s">
        <v>80</v>
      </c>
      <c r="Q41" s="3">
        <v>1</v>
      </c>
      <c r="V41" s="3"/>
    </row>
    <row r="42" spans="1:22">
      <c r="A42" s="186"/>
      <c r="B42" s="186"/>
      <c r="E42" s="134"/>
      <c r="F42" s="39" t="str">
        <f t="shared" si="1"/>
        <v>VIDIPC-Acquisition_Error</v>
      </c>
      <c r="G42" s="40" t="s">
        <v>11</v>
      </c>
      <c r="H42" s="4" t="str">
        <f t="shared" si="4"/>
        <v>%I17.2</v>
      </c>
      <c r="M42" s="137"/>
      <c r="N42" s="65"/>
      <c r="O42" t="s">
        <v>132</v>
      </c>
      <c r="P42" t="s">
        <v>80</v>
      </c>
      <c r="Q42" s="3">
        <v>2</v>
      </c>
      <c r="V42" s="3"/>
    </row>
    <row r="43" spans="1:22">
      <c r="A43" s="186"/>
      <c r="B43" s="186"/>
      <c r="E43" s="134"/>
      <c r="F43" s="39" t="str">
        <f t="shared" si="1"/>
        <v>VIDIPC-Exposure Complete</v>
      </c>
      <c r="G43" s="40" t="s">
        <v>11</v>
      </c>
      <c r="H43" s="4" t="str">
        <f t="shared" si="4"/>
        <v>%I17.3</v>
      </c>
      <c r="M43" s="137"/>
      <c r="O43" t="s">
        <v>167</v>
      </c>
      <c r="P43" t="s">
        <v>80</v>
      </c>
      <c r="Q43" s="3">
        <v>3</v>
      </c>
      <c r="S43" s="15"/>
      <c r="V43" s="3"/>
    </row>
    <row r="44" spans="1:22">
      <c r="E44" s="134"/>
      <c r="F44" s="39" t="str">
        <f t="shared" si="1"/>
        <v>VIDIPC-Inspection_Completed</v>
      </c>
      <c r="G44" s="40" t="s">
        <v>11</v>
      </c>
      <c r="H44" s="4" t="str">
        <f t="shared" si="4"/>
        <v>%I17.4</v>
      </c>
      <c r="M44" s="137"/>
      <c r="N44" s="65"/>
      <c r="O44" t="s">
        <v>133</v>
      </c>
      <c r="P44" t="s">
        <v>80</v>
      </c>
      <c r="Q44" s="3">
        <v>4</v>
      </c>
      <c r="V44" s="3"/>
    </row>
    <row r="45" spans="1:22">
      <c r="E45" s="134"/>
      <c r="F45" s="39" t="str">
        <f t="shared" si="1"/>
        <v>VIDIPC-Results_Valid</v>
      </c>
      <c r="G45" s="40" t="s">
        <v>11</v>
      </c>
      <c r="H45" s="4" t="str">
        <f t="shared" si="4"/>
        <v>%I17.5</v>
      </c>
      <c r="M45" s="137"/>
      <c r="N45" s="65"/>
      <c r="O45" t="s">
        <v>134</v>
      </c>
      <c r="P45" t="s">
        <v>80</v>
      </c>
      <c r="Q45" s="3">
        <v>5</v>
      </c>
      <c r="V45" s="3"/>
    </row>
    <row r="46" spans="1:22">
      <c r="E46" s="134"/>
      <c r="F46" s="39" t="str">
        <f t="shared" si="1"/>
        <v>VIDIPC-Inspection_Passed</v>
      </c>
      <c r="G46" s="40" t="s">
        <v>11</v>
      </c>
      <c r="H46" s="4" t="str">
        <f t="shared" si="4"/>
        <v>%I17.6</v>
      </c>
      <c r="M46" s="137"/>
      <c r="N46" s="65"/>
      <c r="O46" t="s">
        <v>135</v>
      </c>
      <c r="P46" t="s">
        <v>80</v>
      </c>
      <c r="Q46" s="3">
        <v>6</v>
      </c>
      <c r="S46" s="15"/>
      <c r="V46" s="3"/>
    </row>
    <row r="47" spans="1:22">
      <c r="E47" s="134"/>
      <c r="F47" s="39" t="str">
        <f t="shared" si="1"/>
        <v>VIDIPC-Results_Buffer_Overrun</v>
      </c>
      <c r="G47" s="40" t="s">
        <v>11</v>
      </c>
      <c r="H47" s="4" t="str">
        <f t="shared" si="4"/>
        <v>%I17.7</v>
      </c>
      <c r="M47" s="137"/>
      <c r="N47" s="65"/>
      <c r="O47" t="s">
        <v>136</v>
      </c>
      <c r="P47" t="s">
        <v>80</v>
      </c>
      <c r="Q47" s="3">
        <v>7</v>
      </c>
    </row>
    <row r="48" spans="1:22" ht="15" thickBot="1">
      <c r="A48" s="1"/>
      <c r="B48" s="11"/>
      <c r="C48" s="1"/>
      <c r="E48" s="144"/>
      <c r="F48" s="49" t="str">
        <f t="shared" si="1"/>
        <v>VIDIPC-Set_User_Data_Ack</v>
      </c>
      <c r="G48" s="50" t="s">
        <v>11</v>
      </c>
      <c r="H48" s="2" t="str">
        <f>P48&amp;($B$15+1)&amp;"."&amp;Q48</f>
        <v>%I18.0</v>
      </c>
      <c r="M48" s="137"/>
      <c r="O48" t="s">
        <v>168</v>
      </c>
      <c r="P48" t="s">
        <v>80</v>
      </c>
      <c r="Q48" s="3">
        <v>0</v>
      </c>
      <c r="V48" s="3"/>
    </row>
    <row r="49" spans="1:22" ht="15" thickBot="1">
      <c r="A49" s="1"/>
      <c r="B49" s="1"/>
      <c r="C49" s="1"/>
      <c r="E49" s="78" t="s">
        <v>169</v>
      </c>
      <c r="F49" s="79" t="str">
        <f t="shared" si="1"/>
        <v>VIDIPC-Acquisition_ID</v>
      </c>
      <c r="G49" s="80" t="s">
        <v>170</v>
      </c>
      <c r="H49" s="81" t="str">
        <f>P49&amp;$B$16&amp;"."&amp;Q49</f>
        <v>%IW19.0</v>
      </c>
      <c r="M49" s="137"/>
      <c r="N49" s="65"/>
      <c r="O49" t="s">
        <v>171</v>
      </c>
      <c r="P49" t="s">
        <v>89</v>
      </c>
      <c r="Q49" s="3">
        <v>0</v>
      </c>
      <c r="V49" s="3"/>
    </row>
    <row r="50" spans="1:22" ht="15" thickBot="1">
      <c r="A50" s="1"/>
      <c r="B50" s="1"/>
      <c r="C50" s="1"/>
      <c r="E50" s="106" t="s">
        <v>137</v>
      </c>
      <c r="F50" s="39" t="str">
        <f t="shared" si="1"/>
        <v>VIDIPC-Inspected_Image_ID</v>
      </c>
      <c r="G50" s="40" t="s">
        <v>87</v>
      </c>
      <c r="H50" s="4" t="str">
        <f>P50&amp;$B$17</f>
        <v>%IW21</v>
      </c>
      <c r="M50" s="137"/>
      <c r="O50" t="s">
        <v>138</v>
      </c>
      <c r="P50" t="s">
        <v>89</v>
      </c>
      <c r="Q50" s="3"/>
      <c r="S50" s="15"/>
    </row>
    <row r="51" spans="1:22" ht="15" thickBot="1">
      <c r="A51" s="1"/>
      <c r="B51" s="1"/>
      <c r="C51" s="1"/>
      <c r="E51" s="78" t="s">
        <v>139</v>
      </c>
      <c r="F51" s="79" t="str">
        <f t="shared" si="1"/>
        <v>VIDIPC-Inspection_Result_Code</v>
      </c>
      <c r="G51" s="80" t="s">
        <v>22</v>
      </c>
      <c r="H51" s="81" t="str">
        <f>P51&amp;$B$18</f>
        <v>%IW23</v>
      </c>
      <c r="M51" s="137"/>
      <c r="O51" t="s">
        <v>140</v>
      </c>
      <c r="P51" t="s">
        <v>89</v>
      </c>
      <c r="Q51" s="3"/>
      <c r="S51" s="15"/>
    </row>
    <row r="52" spans="1:22" ht="15" thickBot="1">
      <c r="A52" s="1"/>
      <c r="B52" s="1"/>
      <c r="C52" s="1"/>
      <c r="E52" s="106" t="s">
        <v>159</v>
      </c>
      <c r="F52" s="39" t="str">
        <f t="shared" si="1"/>
        <v>VIDIPC-User_Data</v>
      </c>
      <c r="G52" s="40" t="s">
        <v>172</v>
      </c>
      <c r="H52" s="4" t="str">
        <f>P52&amp;$B$19</f>
        <v>%QD64</v>
      </c>
      <c r="M52" s="137"/>
      <c r="N52" s="16" t="s">
        <v>159</v>
      </c>
      <c r="O52" t="s">
        <v>173</v>
      </c>
      <c r="P52" t="s">
        <v>174</v>
      </c>
      <c r="S52" s="15"/>
    </row>
    <row r="53" spans="1:22" ht="15" thickBot="1">
      <c r="A53" s="1"/>
      <c r="B53" s="1"/>
      <c r="C53" s="1"/>
      <c r="E53" s="78" t="s">
        <v>37</v>
      </c>
      <c r="F53" s="79" t="str">
        <f t="shared" si="1"/>
        <v>VIDIPC-Inspection_Results</v>
      </c>
      <c r="G53" s="80" t="s">
        <v>175</v>
      </c>
      <c r="H53" s="81" t="str">
        <f>P53&amp;$B$20</f>
        <v>%ID68</v>
      </c>
      <c r="M53" s="137"/>
      <c r="N53" s="65" t="s">
        <v>37</v>
      </c>
      <c r="O53" t="s">
        <v>142</v>
      </c>
      <c r="P53" t="s">
        <v>143</v>
      </c>
    </row>
    <row r="54" spans="1:22">
      <c r="A54" s="1"/>
      <c r="B54" s="1"/>
      <c r="C54" s="1"/>
      <c r="M54" s="137"/>
    </row>
    <row r="55" spans="1:22">
      <c r="A55" s="1"/>
      <c r="B55" s="1"/>
      <c r="C55" s="1"/>
      <c r="M55" s="137"/>
    </row>
    <row r="56" spans="1:22">
      <c r="A56" s="1"/>
      <c r="B56" s="1"/>
      <c r="C56" s="1"/>
      <c r="M56" s="137"/>
    </row>
    <row r="57" spans="1:22">
      <c r="M57" s="137"/>
    </row>
    <row r="58" spans="1:22">
      <c r="M58" s="137"/>
    </row>
    <row r="59" spans="1:22">
      <c r="E59" s="87"/>
      <c r="G59" s="11"/>
      <c r="H59" s="11"/>
      <c r="M59" s="137"/>
      <c r="N59" s="65"/>
    </row>
    <row r="60" spans="1:22">
      <c r="E60" s="87"/>
      <c r="G60" s="11"/>
      <c r="H60" s="11"/>
      <c r="M60" s="137"/>
    </row>
    <row r="61" spans="1:22">
      <c r="E61" s="87"/>
      <c r="G61" s="11"/>
      <c r="H61" s="11"/>
      <c r="M61" s="137"/>
    </row>
    <row r="62" spans="1:22">
      <c r="E62" s="87"/>
      <c r="G62" s="11"/>
      <c r="H62" s="11"/>
      <c r="M62" s="137"/>
    </row>
    <row r="63" spans="1:22">
      <c r="E63" s="87"/>
      <c r="G63" s="11"/>
      <c r="H63" s="11"/>
      <c r="M63" s="137"/>
    </row>
    <row r="64" spans="1:22">
      <c r="E64" s="87"/>
      <c r="G64" s="11"/>
      <c r="H64" s="11"/>
      <c r="M64" s="137"/>
    </row>
    <row r="65" spans="5:14">
      <c r="E65" s="87"/>
      <c r="G65" s="11"/>
      <c r="H65" s="11"/>
      <c r="M65" s="137"/>
    </row>
    <row r="66" spans="5:14">
      <c r="E66" s="87"/>
      <c r="G66" s="11"/>
      <c r="H66" s="11"/>
      <c r="M66" s="137"/>
    </row>
    <row r="67" spans="5:14">
      <c r="E67" s="87"/>
      <c r="G67" s="11"/>
      <c r="H67" s="11"/>
      <c r="M67" s="137"/>
      <c r="N67" s="65"/>
    </row>
    <row r="68" spans="5:14">
      <c r="E68" s="87"/>
      <c r="G68" s="11"/>
      <c r="H68" s="11"/>
      <c r="M68" s="137"/>
    </row>
    <row r="69" spans="5:14">
      <c r="E69" s="87"/>
      <c r="G69" s="11"/>
      <c r="H69" s="11"/>
      <c r="M69" s="137"/>
    </row>
    <row r="70" spans="5:14">
      <c r="E70" s="87"/>
      <c r="G70" s="11"/>
      <c r="H70" s="11"/>
      <c r="M70" s="137"/>
    </row>
    <row r="71" spans="5:14">
      <c r="E71" s="87"/>
      <c r="G71" s="11"/>
      <c r="H71" s="11"/>
      <c r="M71" s="137"/>
    </row>
    <row r="72" spans="5:14">
      <c r="E72" s="87"/>
      <c r="G72" s="11"/>
      <c r="H72" s="11"/>
      <c r="M72" s="137"/>
    </row>
    <row r="73" spans="5:14">
      <c r="E73" s="87"/>
      <c r="G73" s="11"/>
      <c r="H73" s="11"/>
      <c r="M73" s="137"/>
    </row>
    <row r="74" spans="5:14">
      <c r="E74" s="87"/>
      <c r="G74" s="11"/>
      <c r="H74" s="11"/>
      <c r="M74" s="137"/>
    </row>
    <row r="75" spans="5:14">
      <c r="E75" s="87"/>
      <c r="G75" s="11"/>
      <c r="H75" s="11"/>
      <c r="M75" s="137"/>
      <c r="N75" s="65"/>
    </row>
    <row r="76" spans="5:14">
      <c r="E76" s="87"/>
      <c r="G76" s="11"/>
      <c r="H76" s="11"/>
      <c r="M76" s="29"/>
    </row>
    <row r="77" spans="5:14">
      <c r="E77" s="87"/>
      <c r="G77" s="11"/>
      <c r="H77" s="11"/>
    </row>
    <row r="78" spans="5:14">
      <c r="E78" s="87"/>
      <c r="G78" s="11"/>
      <c r="H78" s="11"/>
    </row>
    <row r="79" spans="5:14">
      <c r="E79" s="87"/>
      <c r="G79" s="11"/>
      <c r="H79" s="11"/>
    </row>
    <row r="80" spans="5:14">
      <c r="E80" s="87"/>
      <c r="G80" s="11"/>
      <c r="H80" s="11"/>
    </row>
    <row r="81" spans="5:22">
      <c r="E81" s="87"/>
      <c r="G81" s="11"/>
      <c r="H81" s="11"/>
    </row>
    <row r="82" spans="5:22">
      <c r="E82" s="87"/>
      <c r="G82" s="11"/>
      <c r="H82" s="11"/>
    </row>
    <row r="84" spans="5:22">
      <c r="S84" s="15"/>
    </row>
    <row r="85" spans="5:22">
      <c r="S85" s="15"/>
    </row>
    <row r="87" spans="5:22">
      <c r="S87" s="87"/>
      <c r="V87" s="3"/>
    </row>
    <row r="88" spans="5:22">
      <c r="S88" s="87"/>
      <c r="V88" s="3"/>
    </row>
    <row r="89" spans="5:22">
      <c r="S89" s="87"/>
      <c r="V89" s="3"/>
    </row>
    <row r="90" spans="5:22">
      <c r="S90" s="87"/>
      <c r="V90" s="3"/>
    </row>
    <row r="91" spans="5:22">
      <c r="S91" s="87"/>
      <c r="V91" s="3"/>
    </row>
    <row r="92" spans="5:22">
      <c r="S92" s="87"/>
      <c r="V92" s="3"/>
    </row>
    <row r="93" spans="5:22">
      <c r="S93" s="87"/>
      <c r="V93" s="3"/>
    </row>
    <row r="94" spans="5:22">
      <c r="S94" s="87"/>
      <c r="V94" s="3"/>
    </row>
    <row r="95" spans="5:22">
      <c r="S95" s="87"/>
      <c r="V95" s="3"/>
    </row>
    <row r="96" spans="5:22">
      <c r="S96" s="87"/>
      <c r="V96" s="3"/>
    </row>
    <row r="97" spans="9:19">
      <c r="S97" s="15"/>
    </row>
    <row r="98" spans="9:19">
      <c r="I98" s="56"/>
    </row>
  </sheetData>
  <mergeCells count="26">
    <mergeCell ref="E36:E39"/>
    <mergeCell ref="E40:E48"/>
    <mergeCell ref="M5:M75"/>
    <mergeCell ref="A42:B42"/>
    <mergeCell ref="A43:B43"/>
    <mergeCell ref="E5:E9"/>
    <mergeCell ref="E11:E18"/>
    <mergeCell ref="E19:E21"/>
    <mergeCell ref="A36:B36"/>
    <mergeCell ref="A37:B37"/>
    <mergeCell ref="A39:B39"/>
    <mergeCell ref="A40:B40"/>
    <mergeCell ref="A41:B41"/>
    <mergeCell ref="A31:B31"/>
    <mergeCell ref="A32:B32"/>
    <mergeCell ref="A33:B33"/>
    <mergeCell ref="A34:B34"/>
    <mergeCell ref="A35:B35"/>
    <mergeCell ref="E22:E25"/>
    <mergeCell ref="T3:W3"/>
    <mergeCell ref="A2:A3"/>
    <mergeCell ref="B2:B3"/>
    <mergeCell ref="E3:E4"/>
    <mergeCell ref="F3:H3"/>
    <mergeCell ref="N3:Q3"/>
    <mergeCell ref="E28:E35"/>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3FFE3-5C41-4E71-A672-8E51EE2C60C0}">
  <sheetPr codeName="Sheet2"/>
  <dimension ref="A1:W96"/>
  <sheetViews>
    <sheetView topLeftCell="A18" zoomScaleNormal="100" workbookViewId="0">
      <selection activeCell="A26" sqref="A26:B32"/>
    </sheetView>
  </sheetViews>
  <sheetFormatPr defaultRowHeight="14.4"/>
  <cols>
    <col min="1" max="1" width="35" customWidth="1"/>
    <col min="2" max="2" width="37" customWidth="1"/>
    <col min="3" max="4" width="12.88671875" customWidth="1"/>
    <col min="5" max="5" width="30.6640625" style="1" customWidth="1"/>
    <col min="6" max="6" width="41.44140625" customWidth="1"/>
    <col min="7" max="8" width="10" customWidth="1"/>
    <col min="10" max="11" width="9.109375" customWidth="1"/>
    <col min="12" max="12" width="5.33203125" customWidth="1"/>
    <col min="13" max="13" width="45.6640625" customWidth="1"/>
    <col min="14" max="14" width="18.109375" customWidth="1"/>
    <col min="15" max="15" width="27.33203125" customWidth="1"/>
    <col min="18" max="18" width="32.33203125" customWidth="1"/>
    <col min="19" max="19" width="18.5546875" bestFit="1" customWidth="1"/>
    <col min="20" max="20" width="22.88671875" bestFit="1" customWidth="1"/>
    <col min="21" max="21" width="5.88671875" bestFit="1" customWidth="1"/>
    <col min="22" max="22" width="6.109375" customWidth="1"/>
  </cols>
  <sheetData>
    <row r="1" spans="1:23" ht="15" thickBot="1"/>
    <row r="2" spans="1:23" ht="15" thickBot="1">
      <c r="A2" s="123" t="s">
        <v>0</v>
      </c>
      <c r="B2" s="125" t="s">
        <v>1</v>
      </c>
    </row>
    <row r="3" spans="1:23" ht="15" thickBot="1">
      <c r="A3" s="124"/>
      <c r="B3" s="126"/>
      <c r="E3" s="127"/>
      <c r="F3" s="183" t="s">
        <v>2</v>
      </c>
      <c r="G3" s="184"/>
      <c r="H3" s="185"/>
      <c r="I3" s="1"/>
      <c r="N3" s="132" t="s">
        <v>3</v>
      </c>
      <c r="O3" s="132"/>
      <c r="P3" s="132"/>
      <c r="Q3" s="132"/>
      <c r="T3" s="132"/>
      <c r="U3" s="132"/>
      <c r="V3" s="132"/>
      <c r="W3" s="132"/>
    </row>
    <row r="4" spans="1:23" ht="15" thickBot="1">
      <c r="A4" s="11"/>
      <c r="B4" s="11"/>
      <c r="E4" s="128"/>
      <c r="F4" s="31" t="s">
        <v>4</v>
      </c>
      <c r="G4" s="34" t="s">
        <v>5</v>
      </c>
      <c r="H4" s="51" t="s">
        <v>6</v>
      </c>
      <c r="Q4" t="s">
        <v>7</v>
      </c>
    </row>
    <row r="5" spans="1:23" ht="15.6">
      <c r="A5" s="42" t="s">
        <v>8</v>
      </c>
      <c r="B5" s="43" t="s">
        <v>9</v>
      </c>
      <c r="E5" s="133" t="s">
        <v>10</v>
      </c>
      <c r="F5" s="39" t="str">
        <f t="shared" ref="F5:F36" si="0">$B$2&amp;"-"&amp;O5</f>
        <v>VCProfiler-TriggerEnable</v>
      </c>
      <c r="G5" s="40" t="s">
        <v>11</v>
      </c>
      <c r="H5" s="4" t="str">
        <f>P5&amp;$B$6&amp;"."&amp;Q5</f>
        <v>%Q10.0</v>
      </c>
      <c r="M5" s="136" t="s">
        <v>12</v>
      </c>
      <c r="N5" s="15" t="s">
        <v>10</v>
      </c>
      <c r="O5" t="s">
        <v>13</v>
      </c>
      <c r="P5" t="s">
        <v>14</v>
      </c>
      <c r="Q5" s="3">
        <v>0</v>
      </c>
      <c r="S5" s="15"/>
      <c r="V5" s="3"/>
    </row>
    <row r="6" spans="1:23">
      <c r="A6" s="63" t="s">
        <v>15</v>
      </c>
      <c r="B6" s="44">
        <v>10</v>
      </c>
      <c r="E6" s="134"/>
      <c r="F6" s="39" t="str">
        <f t="shared" si="0"/>
        <v>VCProfiler-BufferResultsEnable</v>
      </c>
      <c r="G6" s="40" t="s">
        <v>11</v>
      </c>
      <c r="H6" s="4" t="str">
        <f>P6&amp;$B$6&amp;"."&amp;Q6</f>
        <v>%Q10.1</v>
      </c>
      <c r="M6" s="137"/>
      <c r="N6" s="15"/>
      <c r="O6" t="s">
        <v>16</v>
      </c>
      <c r="P6" t="s">
        <v>14</v>
      </c>
      <c r="Q6" s="3">
        <v>1</v>
      </c>
      <c r="S6" s="15"/>
      <c r="V6" s="3"/>
    </row>
    <row r="7" spans="1:23">
      <c r="A7" s="63" t="s">
        <v>17</v>
      </c>
      <c r="B7" s="45">
        <f>SUM(B6+2)</f>
        <v>12</v>
      </c>
      <c r="E7" s="134"/>
      <c r="F7" s="39" t="str">
        <f t="shared" si="0"/>
        <v>VCProfiler-ExecuteCommand</v>
      </c>
      <c r="G7" s="40" t="s">
        <v>11</v>
      </c>
      <c r="H7" s="4" t="str">
        <f>P7&amp;$B$6&amp;"."&amp;Q7</f>
        <v>%Q10.4</v>
      </c>
      <c r="M7" s="137"/>
      <c r="O7" t="s">
        <v>18</v>
      </c>
      <c r="P7" t="s">
        <v>14</v>
      </c>
      <c r="Q7">
        <v>4</v>
      </c>
    </row>
    <row r="8" spans="1:23">
      <c r="A8" s="63" t="s">
        <v>19</v>
      </c>
      <c r="B8" s="45">
        <f>SUM(B7+2)</f>
        <v>14</v>
      </c>
      <c r="E8" s="135"/>
      <c r="F8" s="52" t="str">
        <f t="shared" si="0"/>
        <v>VCProfiler-ClearError</v>
      </c>
      <c r="G8" s="53" t="s">
        <v>11</v>
      </c>
      <c r="H8" s="20" t="str">
        <f>P8&amp;$B$6&amp;"."&amp;Q8</f>
        <v>%Q10.6</v>
      </c>
      <c r="M8" s="137"/>
      <c r="N8" s="15"/>
      <c r="O8" t="s">
        <v>20</v>
      </c>
      <c r="P8" t="s">
        <v>14</v>
      </c>
      <c r="Q8" s="3">
        <v>6</v>
      </c>
      <c r="S8" s="15"/>
      <c r="V8" s="3"/>
    </row>
    <row r="9" spans="1:23">
      <c r="A9" s="63" t="s">
        <v>21</v>
      </c>
      <c r="B9" s="46">
        <v>19</v>
      </c>
      <c r="E9" s="35" t="s">
        <v>17</v>
      </c>
      <c r="F9" s="54" t="str">
        <f t="shared" si="0"/>
        <v>VCProfiler-Command ID</v>
      </c>
      <c r="G9" s="55" t="s">
        <v>22</v>
      </c>
      <c r="H9" s="28" t="str">
        <f>P9&amp;$B$7</f>
        <v>%QW12</v>
      </c>
      <c r="M9" s="137"/>
      <c r="N9" s="15" t="s">
        <v>17</v>
      </c>
      <c r="O9" t="s">
        <v>23</v>
      </c>
      <c r="P9" t="s">
        <v>24</v>
      </c>
      <c r="S9" s="15"/>
    </row>
    <row r="10" spans="1:23">
      <c r="A10" s="63" t="s">
        <v>25</v>
      </c>
      <c r="B10" s="47">
        <f>SUM(B9+1)</f>
        <v>20</v>
      </c>
      <c r="E10" s="133" t="s">
        <v>19</v>
      </c>
      <c r="F10" s="39" t="str">
        <f t="shared" si="0"/>
        <v>VCProfiler-SoftEvent[0]</v>
      </c>
      <c r="G10" s="40" t="s">
        <v>11</v>
      </c>
      <c r="H10" s="4" t="str">
        <f>P10&amp;$B$8&amp;"."&amp;Q10</f>
        <v>%Q14.0</v>
      </c>
      <c r="M10" s="137"/>
      <c r="N10" s="15" t="s">
        <v>19</v>
      </c>
      <c r="O10" t="s">
        <v>26</v>
      </c>
      <c r="P10" t="s">
        <v>14</v>
      </c>
      <c r="Q10" s="3">
        <v>0</v>
      </c>
      <c r="S10" s="15"/>
      <c r="V10" s="3"/>
    </row>
    <row r="11" spans="1:23">
      <c r="A11" s="63" t="s">
        <v>27</v>
      </c>
      <c r="B11" s="47">
        <f>SUM(B9+4)</f>
        <v>23</v>
      </c>
      <c r="E11" s="134"/>
      <c r="F11" s="39" t="str">
        <f t="shared" si="0"/>
        <v>VCProfiler-SoftEvent[1]</v>
      </c>
      <c r="G11" s="40" t="s">
        <v>11</v>
      </c>
      <c r="H11" s="4" t="str">
        <f t="shared" ref="H11:H15" si="1">P11&amp;$B$8&amp;"."&amp;Q11</f>
        <v>%Q14.1</v>
      </c>
      <c r="M11" s="137"/>
      <c r="O11" t="s">
        <v>28</v>
      </c>
      <c r="P11" t="s">
        <v>14</v>
      </c>
      <c r="Q11" s="3">
        <v>1</v>
      </c>
      <c r="V11" s="3"/>
    </row>
    <row r="12" spans="1:23">
      <c r="A12" s="63" t="s">
        <v>29</v>
      </c>
      <c r="B12" s="47">
        <f>SUM(B9+6)</f>
        <v>25</v>
      </c>
      <c r="E12" s="134"/>
      <c r="F12" s="39" t="str">
        <f t="shared" si="0"/>
        <v>VCProfiler-SoftEvent[2]</v>
      </c>
      <c r="G12" s="40" t="s">
        <v>11</v>
      </c>
      <c r="H12" s="4" t="str">
        <f t="shared" si="1"/>
        <v>%Q14.2</v>
      </c>
      <c r="M12" s="137"/>
      <c r="O12" t="s">
        <v>30</v>
      </c>
      <c r="P12" t="s">
        <v>14</v>
      </c>
      <c r="Q12" s="3">
        <v>2</v>
      </c>
      <c r="V12" s="3"/>
    </row>
    <row r="13" spans="1:23">
      <c r="A13" s="63" t="s">
        <v>31</v>
      </c>
      <c r="B13" s="47">
        <f>SUM(B9+8)</f>
        <v>27</v>
      </c>
      <c r="E13" s="134"/>
      <c r="F13" s="39" t="str">
        <f t="shared" si="0"/>
        <v>VCProfiler-SoftEvent[3]</v>
      </c>
      <c r="G13" s="40" t="s">
        <v>11</v>
      </c>
      <c r="H13" s="4" t="str">
        <f t="shared" si="1"/>
        <v>%Q14.3</v>
      </c>
      <c r="M13" s="137"/>
      <c r="O13" t="s">
        <v>32</v>
      </c>
      <c r="P13" t="s">
        <v>14</v>
      </c>
      <c r="Q13" s="3">
        <v>3</v>
      </c>
      <c r="V13" s="3"/>
    </row>
    <row r="14" spans="1:23">
      <c r="A14" s="63" t="s">
        <v>33</v>
      </c>
      <c r="B14" s="46">
        <v>26</v>
      </c>
      <c r="E14" s="134"/>
      <c r="F14" s="39" t="str">
        <f t="shared" si="0"/>
        <v>VCProfiler-SoftEvent[4]</v>
      </c>
      <c r="G14" s="40" t="s">
        <v>11</v>
      </c>
      <c r="H14" s="4" t="str">
        <f t="shared" si="1"/>
        <v>%Q14.4</v>
      </c>
      <c r="M14" s="137"/>
      <c r="O14" t="s">
        <v>34</v>
      </c>
      <c r="P14" t="s">
        <v>14</v>
      </c>
      <c r="Q14" s="3">
        <v>4</v>
      </c>
      <c r="V14" s="3"/>
    </row>
    <row r="15" spans="1:23">
      <c r="A15" s="63" t="s">
        <v>35</v>
      </c>
      <c r="B15" s="46">
        <v>35</v>
      </c>
      <c r="E15" s="134"/>
      <c r="F15" s="39" t="str">
        <f t="shared" si="0"/>
        <v>VCProfiler-SoftEvent[5]</v>
      </c>
      <c r="G15" s="40" t="s">
        <v>11</v>
      </c>
      <c r="H15" s="4" t="str">
        <f t="shared" si="1"/>
        <v>%Q14.5</v>
      </c>
      <c r="M15" s="137"/>
      <c r="O15" t="s">
        <v>36</v>
      </c>
      <c r="P15" t="s">
        <v>14</v>
      </c>
      <c r="Q15" s="3">
        <v>5</v>
      </c>
      <c r="V15" s="3"/>
    </row>
    <row r="16" spans="1:23" ht="15" thickBot="1">
      <c r="A16" s="112" t="s">
        <v>37</v>
      </c>
      <c r="B16" s="48">
        <v>290</v>
      </c>
      <c r="E16" s="134"/>
      <c r="F16" s="39" t="str">
        <f t="shared" si="0"/>
        <v>VCProfiler-SoftEvent[6]</v>
      </c>
      <c r="G16" s="40" t="s">
        <v>11</v>
      </c>
      <c r="H16" s="4" t="str">
        <f>P16&amp;$B$8&amp;"."&amp;Q16</f>
        <v>%Q14.6</v>
      </c>
      <c r="M16" s="137"/>
      <c r="O16" t="s">
        <v>38</v>
      </c>
      <c r="P16" t="s">
        <v>14</v>
      </c>
      <c r="Q16" s="3">
        <v>6</v>
      </c>
      <c r="V16" s="3"/>
    </row>
    <row r="17" spans="1:22" ht="15" thickBot="1">
      <c r="B17" s="41"/>
      <c r="E17" s="134"/>
      <c r="F17" s="39" t="str">
        <f t="shared" si="0"/>
        <v>VCProfiler-SoftEvent[7]</v>
      </c>
      <c r="G17" s="40" t="s">
        <v>11</v>
      </c>
      <c r="H17" s="4" t="str">
        <f>P17&amp;$B$8&amp;"."&amp;Q17</f>
        <v>%Q14.7</v>
      </c>
      <c r="M17" s="137"/>
      <c r="O17" t="s">
        <v>39</v>
      </c>
      <c r="P17" t="s">
        <v>14</v>
      </c>
      <c r="Q17" s="3">
        <v>7</v>
      </c>
      <c r="V17" s="3"/>
    </row>
    <row r="18" spans="1:22">
      <c r="A18" s="138" t="s">
        <v>40</v>
      </c>
      <c r="B18" s="139"/>
      <c r="E18" s="134"/>
      <c r="F18" s="39" t="str">
        <f t="shared" si="0"/>
        <v>VCProfiler-SoftEvent[8]</v>
      </c>
      <c r="G18" s="40" t="s">
        <v>11</v>
      </c>
      <c r="H18" s="4" t="str">
        <f>P18&amp;($B$8+1)&amp;"."&amp;Q18</f>
        <v>%Q15.0</v>
      </c>
      <c r="M18" s="137"/>
      <c r="O18" t="s">
        <v>41</v>
      </c>
      <c r="P18" t="s">
        <v>14</v>
      </c>
      <c r="Q18" s="3">
        <v>0</v>
      </c>
      <c r="V18" s="3"/>
    </row>
    <row r="19" spans="1:22">
      <c r="A19" s="140" t="s">
        <v>42</v>
      </c>
      <c r="B19" s="141"/>
      <c r="E19" s="134"/>
      <c r="F19" s="39" t="str">
        <f t="shared" si="0"/>
        <v>VCProfiler-SoftEvent[9]</v>
      </c>
      <c r="G19" s="40" t="s">
        <v>11</v>
      </c>
      <c r="H19" s="4" t="str">
        <f t="shared" ref="H19:H25" si="2">P19&amp;($B$8+1)&amp;"."&amp;Q19</f>
        <v>%Q15.1</v>
      </c>
      <c r="M19" s="137"/>
      <c r="N19" s="15" t="s">
        <v>43</v>
      </c>
      <c r="O19" t="s">
        <v>44</v>
      </c>
      <c r="P19" t="s">
        <v>14</v>
      </c>
      <c r="Q19" s="3">
        <v>1</v>
      </c>
      <c r="V19" s="3"/>
    </row>
    <row r="20" spans="1:22">
      <c r="A20" s="140" t="s">
        <v>45</v>
      </c>
      <c r="B20" s="141"/>
      <c r="E20" s="134"/>
      <c r="F20" s="39" t="str">
        <f t="shared" si="0"/>
        <v>VCProfiler-SoftEvent[10]</v>
      </c>
      <c r="G20" s="40" t="s">
        <v>11</v>
      </c>
      <c r="H20" s="4" t="str">
        <f t="shared" si="2"/>
        <v>%Q15.2</v>
      </c>
      <c r="M20" s="137"/>
      <c r="O20" t="s">
        <v>46</v>
      </c>
      <c r="P20" t="s">
        <v>14</v>
      </c>
      <c r="Q20" s="3">
        <v>2</v>
      </c>
      <c r="V20" s="3"/>
    </row>
    <row r="21" spans="1:22">
      <c r="A21" s="140" t="s">
        <v>47</v>
      </c>
      <c r="B21" s="141"/>
      <c r="E21" s="134"/>
      <c r="F21" s="39" t="str">
        <f t="shared" si="0"/>
        <v>VCProfiler-SoftEvent[11]</v>
      </c>
      <c r="G21" s="40" t="s">
        <v>11</v>
      </c>
      <c r="H21" s="4" t="str">
        <f t="shared" si="2"/>
        <v>%Q15.3</v>
      </c>
      <c r="M21" s="137"/>
      <c r="O21" t="s">
        <v>48</v>
      </c>
      <c r="P21" t="s">
        <v>14</v>
      </c>
      <c r="Q21" s="3">
        <v>3</v>
      </c>
      <c r="V21" s="3"/>
    </row>
    <row r="22" spans="1:22">
      <c r="A22" s="140" t="s">
        <v>49</v>
      </c>
      <c r="B22" s="141"/>
      <c r="E22" s="134"/>
      <c r="F22" s="39" t="str">
        <f t="shared" si="0"/>
        <v>VCProfiler-SoftEvent[12]</v>
      </c>
      <c r="G22" s="40" t="s">
        <v>11</v>
      </c>
      <c r="H22" s="4" t="str">
        <f t="shared" si="2"/>
        <v>%Q15.4</v>
      </c>
      <c r="M22" s="137"/>
      <c r="O22" t="s">
        <v>50</v>
      </c>
      <c r="P22" t="s">
        <v>14</v>
      </c>
      <c r="Q22" s="3">
        <v>4</v>
      </c>
      <c r="V22" s="3"/>
    </row>
    <row r="23" spans="1:22">
      <c r="A23" s="140" t="s">
        <v>51</v>
      </c>
      <c r="B23" s="141"/>
      <c r="E23" s="134"/>
      <c r="F23" s="39" t="str">
        <f t="shared" si="0"/>
        <v>VCProfiler-SoftEvent[13]</v>
      </c>
      <c r="G23" s="40" t="s">
        <v>11</v>
      </c>
      <c r="H23" s="4" t="str">
        <f t="shared" si="2"/>
        <v>%Q15.5</v>
      </c>
      <c r="M23" s="137"/>
      <c r="O23" t="s">
        <v>52</v>
      </c>
      <c r="P23" t="s">
        <v>14</v>
      </c>
      <c r="Q23" s="3">
        <v>5</v>
      </c>
      <c r="V23" s="3"/>
    </row>
    <row r="24" spans="1:22" ht="15" thickBot="1">
      <c r="A24" s="142" t="s">
        <v>53</v>
      </c>
      <c r="B24" s="143"/>
      <c r="E24" s="134"/>
      <c r="F24" s="39" t="str">
        <f t="shared" si="0"/>
        <v>VCProfiler-SoftEvent[14]</v>
      </c>
      <c r="G24" s="40" t="s">
        <v>11</v>
      </c>
      <c r="H24" s="4" t="str">
        <f t="shared" si="2"/>
        <v>%Q15.6</v>
      </c>
      <c r="M24" s="137"/>
      <c r="O24" t="s">
        <v>54</v>
      </c>
      <c r="P24" t="s">
        <v>14</v>
      </c>
      <c r="Q24" s="3">
        <v>6</v>
      </c>
      <c r="V24" s="3"/>
    </row>
    <row r="25" spans="1:22" ht="15" thickBot="1">
      <c r="E25" s="134"/>
      <c r="F25" s="39" t="str">
        <f t="shared" si="0"/>
        <v>VCProfiler-SoftEvent[15]</v>
      </c>
      <c r="G25" s="40" t="s">
        <v>11</v>
      </c>
      <c r="H25" s="4" t="str">
        <f t="shared" si="2"/>
        <v>%Q15.7</v>
      </c>
      <c r="M25" s="137"/>
      <c r="O25" t="s">
        <v>55</v>
      </c>
      <c r="P25" t="s">
        <v>14</v>
      </c>
      <c r="Q25" s="3">
        <v>7</v>
      </c>
      <c r="V25" s="3"/>
    </row>
    <row r="26" spans="1:22">
      <c r="A26" s="138" t="s">
        <v>56</v>
      </c>
      <c r="B26" s="139"/>
      <c r="E26" s="134"/>
      <c r="F26" s="39" t="str">
        <f t="shared" si="0"/>
        <v>VCProfiler-SoftEvent[16]</v>
      </c>
      <c r="G26" s="40" t="s">
        <v>11</v>
      </c>
      <c r="H26" s="4" t="str">
        <f>P26&amp;($B$8+2)&amp;"."&amp;Q26</f>
        <v>%Q16.0</v>
      </c>
      <c r="M26" s="137"/>
      <c r="O26" t="s">
        <v>57</v>
      </c>
      <c r="P26" t="s">
        <v>14</v>
      </c>
      <c r="Q26" s="3">
        <v>0</v>
      </c>
      <c r="V26" s="3"/>
    </row>
    <row r="27" spans="1:22">
      <c r="A27" s="140" t="s">
        <v>58</v>
      </c>
      <c r="B27" s="141"/>
      <c r="E27" s="134"/>
      <c r="F27" s="39" t="str">
        <f t="shared" si="0"/>
        <v>VCProfiler-SoftEvent[17]</v>
      </c>
      <c r="G27" s="40" t="s">
        <v>11</v>
      </c>
      <c r="H27" s="4" t="str">
        <f t="shared" ref="H27:H33" si="3">P27&amp;($B$8+2)&amp;"."&amp;Q27</f>
        <v>%Q16.1</v>
      </c>
      <c r="M27" s="137"/>
      <c r="N27" s="15" t="s">
        <v>59</v>
      </c>
      <c r="O27" t="s">
        <v>60</v>
      </c>
      <c r="P27" t="s">
        <v>14</v>
      </c>
      <c r="Q27" s="3">
        <v>1</v>
      </c>
      <c r="V27" s="3"/>
    </row>
    <row r="28" spans="1:22">
      <c r="A28" s="140" t="s">
        <v>49</v>
      </c>
      <c r="B28" s="141"/>
      <c r="E28" s="134"/>
      <c r="F28" s="39" t="str">
        <f t="shared" si="0"/>
        <v>VCProfiler-SoftEvent[18]</v>
      </c>
      <c r="G28" s="40" t="s">
        <v>11</v>
      </c>
      <c r="H28" s="4" t="str">
        <f t="shared" si="3"/>
        <v>%Q16.2</v>
      </c>
      <c r="M28" s="137"/>
      <c r="O28" t="s">
        <v>61</v>
      </c>
      <c r="P28" t="s">
        <v>14</v>
      </c>
      <c r="Q28" s="3">
        <v>2</v>
      </c>
      <c r="V28" s="3"/>
    </row>
    <row r="29" spans="1:22">
      <c r="A29" s="140" t="s">
        <v>62</v>
      </c>
      <c r="B29" s="141"/>
      <c r="E29" s="134"/>
      <c r="F29" s="39" t="str">
        <f t="shared" si="0"/>
        <v>VCProfiler-SoftEvent[19]</v>
      </c>
      <c r="G29" s="40" t="s">
        <v>11</v>
      </c>
      <c r="H29" s="4" t="str">
        <f t="shared" si="3"/>
        <v>%Q16.3</v>
      </c>
      <c r="M29" s="137"/>
      <c r="O29" t="s">
        <v>63</v>
      </c>
      <c r="P29" t="s">
        <v>14</v>
      </c>
      <c r="Q29" s="3">
        <v>3</v>
      </c>
      <c r="V29" s="3"/>
    </row>
    <row r="30" spans="1:22" ht="15" thickBot="1">
      <c r="A30" s="142" t="s">
        <v>64</v>
      </c>
      <c r="B30" s="143"/>
      <c r="E30" s="134"/>
      <c r="F30" s="39" t="str">
        <f t="shared" si="0"/>
        <v>VCProfiler-SoftEvent[20]</v>
      </c>
      <c r="G30" s="40" t="s">
        <v>11</v>
      </c>
      <c r="H30" s="4" t="str">
        <f t="shared" si="3"/>
        <v>%Q16.4</v>
      </c>
      <c r="M30" s="137"/>
      <c r="O30" t="s">
        <v>65</v>
      </c>
      <c r="P30" t="s">
        <v>14</v>
      </c>
      <c r="Q30" s="3">
        <v>4</v>
      </c>
      <c r="V30" s="3"/>
    </row>
    <row r="31" spans="1:22">
      <c r="E31" s="134"/>
      <c r="F31" s="39" t="str">
        <f t="shared" si="0"/>
        <v>VCProfiler-SoftEvent[21]</v>
      </c>
      <c r="G31" s="40" t="s">
        <v>11</v>
      </c>
      <c r="H31" s="4" t="str">
        <f t="shared" si="3"/>
        <v>%Q16.5</v>
      </c>
      <c r="M31" s="137"/>
      <c r="O31" t="s">
        <v>66</v>
      </c>
      <c r="P31" t="s">
        <v>14</v>
      </c>
      <c r="Q31" s="3">
        <v>5</v>
      </c>
      <c r="V31" s="3"/>
    </row>
    <row r="32" spans="1:22">
      <c r="A32" t="s">
        <v>67</v>
      </c>
      <c r="E32" s="134"/>
      <c r="F32" s="39" t="str">
        <f t="shared" si="0"/>
        <v>VCProfiler-SoftEvent[22]</v>
      </c>
      <c r="G32" s="40" t="s">
        <v>11</v>
      </c>
      <c r="H32" s="4" t="str">
        <f t="shared" si="3"/>
        <v>%Q16.6</v>
      </c>
      <c r="M32" s="137"/>
      <c r="O32" t="s">
        <v>68</v>
      </c>
      <c r="P32" t="s">
        <v>14</v>
      </c>
      <c r="Q32" s="3">
        <v>6</v>
      </c>
      <c r="V32" s="3"/>
    </row>
    <row r="33" spans="1:22" ht="15" thickBot="1">
      <c r="E33" s="134"/>
      <c r="F33" s="39" t="str">
        <f t="shared" si="0"/>
        <v>VCProfiler-SoftEvent[23]</v>
      </c>
      <c r="G33" s="40" t="s">
        <v>11</v>
      </c>
      <c r="H33" s="4" t="str">
        <f t="shared" si="3"/>
        <v>%Q16.7</v>
      </c>
      <c r="M33" s="137"/>
      <c r="O33" t="s">
        <v>69</v>
      </c>
      <c r="P33" t="s">
        <v>14</v>
      </c>
      <c r="Q33" s="3">
        <v>7</v>
      </c>
      <c r="V33" s="3"/>
    </row>
    <row r="34" spans="1:22">
      <c r="A34" s="108" t="str">
        <f>F5</f>
        <v>VCProfiler-TriggerEnable</v>
      </c>
      <c r="B34" s="60" t="str">
        <f>H5</f>
        <v>%Q10.0</v>
      </c>
      <c r="C34" s="57" t="s">
        <v>11</v>
      </c>
      <c r="E34" s="134"/>
      <c r="F34" s="39" t="str">
        <f t="shared" si="0"/>
        <v>VCProfiler-SoftEvent[24]</v>
      </c>
      <c r="G34" s="40" t="s">
        <v>11</v>
      </c>
      <c r="H34" s="4" t="str">
        <f>P34&amp;($B$8+3)&amp;"."&amp;Q34</f>
        <v>%Q17.0</v>
      </c>
      <c r="M34" s="137"/>
      <c r="O34" t="s">
        <v>70</v>
      </c>
      <c r="P34" t="s">
        <v>14</v>
      </c>
      <c r="Q34" s="3">
        <v>0</v>
      </c>
      <c r="V34" s="3"/>
    </row>
    <row r="35" spans="1:22">
      <c r="A35" s="110" t="str">
        <f>F85</f>
        <v>VCProfiler-Trigger_Ready</v>
      </c>
      <c r="B35" s="61" t="str">
        <f>H85</f>
        <v>%I35.0</v>
      </c>
      <c r="C35" s="58" t="s">
        <v>11</v>
      </c>
      <c r="E35" s="134"/>
      <c r="F35" s="39" t="str">
        <f t="shared" si="0"/>
        <v>VCProfiler-SoftEvent[25]</v>
      </c>
      <c r="G35" s="40" t="s">
        <v>11</v>
      </c>
      <c r="H35" s="4" t="str">
        <f t="shared" ref="H35:H41" si="4">P35&amp;($B$8+3)&amp;"."&amp;Q35</f>
        <v>%Q17.1</v>
      </c>
      <c r="M35" s="137"/>
      <c r="N35" s="15" t="s">
        <v>71</v>
      </c>
      <c r="O35" t="s">
        <v>72</v>
      </c>
      <c r="P35" t="s">
        <v>14</v>
      </c>
      <c r="Q35" s="3">
        <v>1</v>
      </c>
      <c r="V35" s="3"/>
    </row>
    <row r="36" spans="1:22">
      <c r="A36" s="110" t="str">
        <f>F42</f>
        <v>VCProfiler-System_Ready</v>
      </c>
      <c r="B36" s="61" t="str">
        <f>H42</f>
        <v>%I19.0</v>
      </c>
      <c r="C36" s="58" t="str">
        <f>G42</f>
        <v>Bool</v>
      </c>
      <c r="E36" s="134"/>
      <c r="F36" s="39" t="str">
        <f t="shared" si="0"/>
        <v>VCProfiler-SoftEvent[26]</v>
      </c>
      <c r="G36" s="40" t="s">
        <v>11</v>
      </c>
      <c r="H36" s="4" t="str">
        <f t="shared" si="4"/>
        <v>%Q17.2</v>
      </c>
      <c r="M36" s="137"/>
      <c r="O36" t="s">
        <v>73</v>
      </c>
      <c r="P36" t="s">
        <v>14</v>
      </c>
      <c r="Q36" s="3">
        <v>2</v>
      </c>
      <c r="V36" s="3"/>
    </row>
    <row r="37" spans="1:22">
      <c r="A37" s="110" t="str">
        <f>F43</f>
        <v>VCProfiler-Processing_Enabled</v>
      </c>
      <c r="B37" s="61" t="str">
        <f>H43</f>
        <v>%I19.6</v>
      </c>
      <c r="C37" s="58" t="str">
        <f>G43</f>
        <v>Bool</v>
      </c>
      <c r="E37" s="134"/>
      <c r="F37" s="39" t="str">
        <f t="shared" ref="F37:F68" si="5">$B$2&amp;"-"&amp;O37</f>
        <v>VCProfiler-SoftEvent[27]</v>
      </c>
      <c r="G37" s="40" t="s">
        <v>11</v>
      </c>
      <c r="H37" s="4" t="str">
        <f t="shared" si="4"/>
        <v>%Q17.3</v>
      </c>
      <c r="M37" s="137"/>
      <c r="O37" t="s">
        <v>74</v>
      </c>
      <c r="P37" t="s">
        <v>14</v>
      </c>
      <c r="Q37" s="3">
        <v>3</v>
      </c>
      <c r="V37" s="3"/>
    </row>
    <row r="38" spans="1:22">
      <c r="A38" s="110" t="str">
        <f>F44</f>
        <v>VCProfiler-Run_Mode</v>
      </c>
      <c r="B38" s="61" t="str">
        <f>H44</f>
        <v>%I19.7</v>
      </c>
      <c r="C38" s="58" t="str">
        <f>G44</f>
        <v>Bool</v>
      </c>
      <c r="E38" s="134"/>
      <c r="F38" s="39" t="str">
        <f t="shared" si="5"/>
        <v>VCProfiler-SoftEvent[28]</v>
      </c>
      <c r="G38" s="40" t="s">
        <v>11</v>
      </c>
      <c r="H38" s="4" t="str">
        <f t="shared" si="4"/>
        <v>%Q17.4</v>
      </c>
      <c r="M38" s="137"/>
      <c r="O38" t="s">
        <v>75</v>
      </c>
      <c r="P38" t="s">
        <v>14</v>
      </c>
      <c r="Q38" s="3">
        <v>4</v>
      </c>
      <c r="V38" s="3"/>
    </row>
    <row r="39" spans="1:22">
      <c r="A39" s="110" t="str">
        <f>F83</f>
        <v>VCProfiler-Trigger_Camera</v>
      </c>
      <c r="B39" s="61" t="str">
        <f>H83</f>
        <v>%Q26.0</v>
      </c>
      <c r="C39" s="58" t="str">
        <f>G83</f>
        <v>Bool</v>
      </c>
      <c r="E39" s="134"/>
      <c r="F39" s="39" t="str">
        <f t="shared" si="5"/>
        <v>VCProfiler-SoftEvent[29]</v>
      </c>
      <c r="G39" s="40" t="s">
        <v>11</v>
      </c>
      <c r="H39" s="4" t="str">
        <f t="shared" si="4"/>
        <v>%Q17.5</v>
      </c>
      <c r="M39" s="137"/>
      <c r="O39" t="s">
        <v>76</v>
      </c>
      <c r="P39" t="s">
        <v>14</v>
      </c>
      <c r="Q39" s="3">
        <v>5</v>
      </c>
      <c r="V39" s="3"/>
    </row>
    <row r="40" spans="1:22">
      <c r="A40" s="110" t="str">
        <f>F86</f>
        <v>VCProfiler-Trigger_ACK</v>
      </c>
      <c r="B40" s="61" t="str">
        <f>H86</f>
        <v>%I35.1</v>
      </c>
      <c r="C40" s="58" t="str">
        <f>G86</f>
        <v>Bool</v>
      </c>
      <c r="E40" s="134"/>
      <c r="F40" s="39" t="str">
        <f t="shared" si="5"/>
        <v>VCProfiler-SoftEvent[30]</v>
      </c>
      <c r="G40" s="40" t="s">
        <v>11</v>
      </c>
      <c r="H40" s="4" t="str">
        <f t="shared" si="4"/>
        <v>%Q17.6</v>
      </c>
      <c r="M40" s="137"/>
      <c r="O40" t="s">
        <v>77</v>
      </c>
      <c r="P40" t="s">
        <v>14</v>
      </c>
      <c r="Q40" s="3">
        <v>6</v>
      </c>
      <c r="V40" s="3"/>
    </row>
    <row r="41" spans="1:22">
      <c r="A41" s="110" t="str">
        <f>F88</f>
        <v>VCProfiler-Inspection_Completed</v>
      </c>
      <c r="B41" s="61" t="str">
        <f>H88</f>
        <v>%I35.4</v>
      </c>
      <c r="C41" s="58" t="str">
        <f>G88</f>
        <v>Bool</v>
      </c>
      <c r="E41" s="135"/>
      <c r="F41" s="52" t="str">
        <f t="shared" si="5"/>
        <v>VCProfiler-SoftEvent[31]</v>
      </c>
      <c r="G41" s="53" t="s">
        <v>11</v>
      </c>
      <c r="H41" s="20" t="str">
        <f t="shared" si="4"/>
        <v>%Q17.7</v>
      </c>
      <c r="M41" s="137"/>
      <c r="O41" t="s">
        <v>78</v>
      </c>
      <c r="P41" t="s">
        <v>14</v>
      </c>
      <c r="Q41" s="3">
        <v>7</v>
      </c>
      <c r="V41" s="3"/>
    </row>
    <row r="42" spans="1:22" ht="15" thickBot="1">
      <c r="A42" s="109" t="str">
        <f>F90</f>
        <v>VCProfiler-Inspection_Passed</v>
      </c>
      <c r="B42" s="62" t="str">
        <f>H90</f>
        <v>%I35.6</v>
      </c>
      <c r="C42" s="59" t="str">
        <f>G90</f>
        <v>Bool</v>
      </c>
      <c r="E42" s="133" t="s">
        <v>21</v>
      </c>
      <c r="F42" s="39" t="str">
        <f t="shared" si="5"/>
        <v>VCProfiler-System_Ready</v>
      </c>
      <c r="G42" s="40" t="s">
        <v>11</v>
      </c>
      <c r="H42" s="4" t="str">
        <f>P42&amp;$B$9&amp;"."&amp;Q42</f>
        <v>%I19.0</v>
      </c>
      <c r="M42" s="137"/>
      <c r="O42" t="s">
        <v>79</v>
      </c>
      <c r="P42" t="s">
        <v>80</v>
      </c>
      <c r="Q42" s="3">
        <v>0</v>
      </c>
      <c r="V42" s="3"/>
    </row>
    <row r="43" spans="1:22">
      <c r="E43" s="134"/>
      <c r="F43" s="39" t="str">
        <f t="shared" si="5"/>
        <v>VCProfiler-Processing_Enabled</v>
      </c>
      <c r="G43" s="40" t="s">
        <v>11</v>
      </c>
      <c r="H43" s="4" t="str">
        <f t="shared" ref="H43:H44" si="6">P43&amp;$B$9&amp;"."&amp;Q43</f>
        <v>%I19.6</v>
      </c>
      <c r="M43" s="137"/>
      <c r="N43" s="15" t="s">
        <v>21</v>
      </c>
      <c r="O43" t="s">
        <v>81</v>
      </c>
      <c r="P43" t="s">
        <v>80</v>
      </c>
      <c r="Q43" s="3">
        <v>6</v>
      </c>
      <c r="S43" s="15"/>
      <c r="V43" s="3"/>
    </row>
    <row r="44" spans="1:22">
      <c r="E44" s="135"/>
      <c r="F44" s="52" t="str">
        <f t="shared" si="5"/>
        <v>VCProfiler-Run_Mode</v>
      </c>
      <c r="G44" s="53" t="s">
        <v>11</v>
      </c>
      <c r="H44" s="20" t="str">
        <f t="shared" si="6"/>
        <v>%I19.7</v>
      </c>
      <c r="M44" s="137"/>
      <c r="O44" t="s">
        <v>82</v>
      </c>
      <c r="P44" t="s">
        <v>80</v>
      </c>
      <c r="Q44" s="3">
        <v>7</v>
      </c>
      <c r="V44" s="3"/>
    </row>
    <row r="45" spans="1:22">
      <c r="E45" s="133" t="s">
        <v>25</v>
      </c>
      <c r="F45" s="39" t="str">
        <f t="shared" si="5"/>
        <v>VCProfiler-Command_Executing</v>
      </c>
      <c r="G45" s="40" t="s">
        <v>11</v>
      </c>
      <c r="H45" s="4" t="str">
        <f>P45&amp;$B$10&amp;"."&amp;Q45</f>
        <v>%I20.4</v>
      </c>
      <c r="M45" s="137"/>
      <c r="O45" t="s">
        <v>83</v>
      </c>
      <c r="P45" t="s">
        <v>80</v>
      </c>
      <c r="Q45" s="3">
        <v>4</v>
      </c>
      <c r="V45" s="3"/>
    </row>
    <row r="46" spans="1:22">
      <c r="E46" s="134"/>
      <c r="F46" s="39" t="str">
        <f t="shared" si="5"/>
        <v>VCProfiler-Command_Completetd</v>
      </c>
      <c r="G46" s="40" t="s">
        <v>11</v>
      </c>
      <c r="H46" s="4" t="str">
        <f t="shared" ref="H46:H48" si="7">P46&amp;$B$10&amp;"."&amp;Q46</f>
        <v>%I20.5</v>
      </c>
      <c r="M46" s="137"/>
      <c r="N46" s="15" t="s">
        <v>25</v>
      </c>
      <c r="O46" t="s">
        <v>84</v>
      </c>
      <c r="P46" t="s">
        <v>80</v>
      </c>
      <c r="Q46">
        <v>5</v>
      </c>
      <c r="S46" s="15"/>
      <c r="V46" s="3"/>
    </row>
    <row r="47" spans="1:22">
      <c r="E47" s="134"/>
      <c r="F47" s="39" t="str">
        <f t="shared" si="5"/>
        <v>VCProfiler-Command_Failed</v>
      </c>
      <c r="G47" s="40" t="s">
        <v>11</v>
      </c>
      <c r="H47" s="4" t="str">
        <f t="shared" si="7"/>
        <v>%I20.6</v>
      </c>
      <c r="M47" s="137"/>
      <c r="O47" t="s">
        <v>85</v>
      </c>
      <c r="P47" t="s">
        <v>80</v>
      </c>
      <c r="Q47" s="3">
        <v>6</v>
      </c>
    </row>
    <row r="48" spans="1:22">
      <c r="E48" s="135"/>
      <c r="F48" s="52" t="str">
        <f t="shared" si="5"/>
        <v>VCProfiler-Error</v>
      </c>
      <c r="G48" s="53" t="s">
        <v>11</v>
      </c>
      <c r="H48" s="20" t="str">
        <f t="shared" si="7"/>
        <v>%I20.7</v>
      </c>
      <c r="M48" s="137"/>
      <c r="O48" t="s">
        <v>86</v>
      </c>
      <c r="P48" t="s">
        <v>80</v>
      </c>
      <c r="Q48" s="3">
        <v>7</v>
      </c>
      <c r="V48" s="3"/>
    </row>
    <row r="49" spans="5:22">
      <c r="E49" s="35" t="s">
        <v>27</v>
      </c>
      <c r="F49" s="54" t="str">
        <f t="shared" si="5"/>
        <v>VCProfiler-Command_Result_Code</v>
      </c>
      <c r="G49" s="55" t="s">
        <v>87</v>
      </c>
      <c r="H49" s="28" t="str">
        <f>P49&amp;$B$11</f>
        <v>%IW23</v>
      </c>
      <c r="M49" s="137"/>
      <c r="N49" s="15" t="s">
        <v>27</v>
      </c>
      <c r="O49" t="s">
        <v>88</v>
      </c>
      <c r="P49" t="s">
        <v>89</v>
      </c>
      <c r="V49" s="3"/>
    </row>
    <row r="50" spans="5:22">
      <c r="E50" s="35" t="s">
        <v>29</v>
      </c>
      <c r="F50" s="54" t="str">
        <f t="shared" si="5"/>
        <v>VCProfiler-Error_ID</v>
      </c>
      <c r="G50" s="55" t="s">
        <v>87</v>
      </c>
      <c r="H50" s="28" t="str">
        <f>P50&amp;$B$12</f>
        <v>%IW25</v>
      </c>
      <c r="M50" s="137"/>
      <c r="N50" s="15" t="s">
        <v>29</v>
      </c>
      <c r="O50" t="s">
        <v>90</v>
      </c>
      <c r="P50" t="s">
        <v>89</v>
      </c>
      <c r="S50" s="15"/>
    </row>
    <row r="51" spans="5:22">
      <c r="E51" s="133" t="s">
        <v>31</v>
      </c>
      <c r="F51" s="39" t="str">
        <f t="shared" si="5"/>
        <v>VCProfiler-SoftEvent_ACK[0]</v>
      </c>
      <c r="G51" s="40" t="s">
        <v>11</v>
      </c>
      <c r="H51" s="4" t="str">
        <f t="shared" ref="H51:H58" si="8">P51&amp;$B$13&amp;"."&amp;Q51</f>
        <v>%I27.0</v>
      </c>
      <c r="M51" s="137"/>
      <c r="N51" s="15" t="s">
        <v>91</v>
      </c>
      <c r="O51" t="s">
        <v>92</v>
      </c>
      <c r="P51" t="s">
        <v>80</v>
      </c>
      <c r="Q51">
        <v>0</v>
      </c>
      <c r="S51" s="15"/>
    </row>
    <row r="52" spans="5:22">
      <c r="E52" s="134"/>
      <c r="F52" s="39" t="str">
        <f t="shared" si="5"/>
        <v>VCProfiler-SoftEvent_ACK[1]</v>
      </c>
      <c r="G52" s="40" t="s">
        <v>11</v>
      </c>
      <c r="H52" s="4" t="str">
        <f t="shared" si="8"/>
        <v>%I27.1</v>
      </c>
      <c r="M52" s="137"/>
      <c r="O52" t="s">
        <v>93</v>
      </c>
      <c r="P52" t="s">
        <v>80</v>
      </c>
      <c r="Q52">
        <v>1</v>
      </c>
      <c r="S52" s="15"/>
    </row>
    <row r="53" spans="5:22">
      <c r="E53" s="134"/>
      <c r="F53" s="39" t="str">
        <f t="shared" si="5"/>
        <v>VCProfiler-SoftEvent_ACK[2]</v>
      </c>
      <c r="G53" s="40" t="s">
        <v>11</v>
      </c>
      <c r="H53" s="4" t="str">
        <f t="shared" si="8"/>
        <v>%I27.2</v>
      </c>
      <c r="M53" s="137"/>
      <c r="O53" t="s">
        <v>94</v>
      </c>
      <c r="P53" t="s">
        <v>80</v>
      </c>
      <c r="Q53">
        <v>2</v>
      </c>
    </row>
    <row r="54" spans="5:22">
      <c r="E54" s="134"/>
      <c r="F54" s="39" t="str">
        <f t="shared" si="5"/>
        <v>VCProfiler-SoftEvent_ACK[3]</v>
      </c>
      <c r="G54" s="40" t="s">
        <v>11</v>
      </c>
      <c r="H54" s="4" t="str">
        <f t="shared" si="8"/>
        <v>%I27.3</v>
      </c>
      <c r="M54" s="137"/>
      <c r="O54" t="s">
        <v>95</v>
      </c>
      <c r="P54" t="s">
        <v>80</v>
      </c>
      <c r="Q54">
        <v>3</v>
      </c>
    </row>
    <row r="55" spans="5:22">
      <c r="E55" s="134"/>
      <c r="F55" s="39" t="str">
        <f t="shared" si="5"/>
        <v>VCProfiler-SoftEvent_ACK[4]</v>
      </c>
      <c r="G55" s="40" t="s">
        <v>11</v>
      </c>
      <c r="H55" s="4" t="str">
        <f t="shared" si="8"/>
        <v>%I27.4</v>
      </c>
      <c r="M55" s="137"/>
      <c r="O55" t="s">
        <v>96</v>
      </c>
      <c r="P55" t="s">
        <v>80</v>
      </c>
      <c r="Q55">
        <v>4</v>
      </c>
    </row>
    <row r="56" spans="5:22">
      <c r="E56" s="134"/>
      <c r="F56" s="39" t="str">
        <f t="shared" si="5"/>
        <v>VCProfiler-SoftEvent_ACK[5]</v>
      </c>
      <c r="G56" s="40" t="s">
        <v>11</v>
      </c>
      <c r="H56" s="4" t="str">
        <f t="shared" si="8"/>
        <v>%I27.5</v>
      </c>
      <c r="M56" s="137"/>
      <c r="O56" t="s">
        <v>97</v>
      </c>
      <c r="P56" t="s">
        <v>80</v>
      </c>
      <c r="Q56">
        <v>5</v>
      </c>
    </row>
    <row r="57" spans="5:22">
      <c r="E57" s="134"/>
      <c r="F57" s="39" t="str">
        <f t="shared" si="5"/>
        <v>VCProfiler-SoftEvent_ACK[6]</v>
      </c>
      <c r="G57" s="40" t="s">
        <v>11</v>
      </c>
      <c r="H57" s="4" t="str">
        <f t="shared" si="8"/>
        <v>%I27.6</v>
      </c>
      <c r="M57" s="137"/>
      <c r="O57" t="s">
        <v>98</v>
      </c>
      <c r="P57" t="s">
        <v>80</v>
      </c>
      <c r="Q57">
        <v>6</v>
      </c>
    </row>
    <row r="58" spans="5:22">
      <c r="E58" s="134"/>
      <c r="F58" s="39" t="str">
        <f t="shared" si="5"/>
        <v>VCProfiler-SoftEvent_ACK[7]</v>
      </c>
      <c r="G58" s="40" t="s">
        <v>11</v>
      </c>
      <c r="H58" s="4" t="str">
        <f t="shared" si="8"/>
        <v>%I27.7</v>
      </c>
      <c r="M58" s="137"/>
      <c r="O58" t="s">
        <v>99</v>
      </c>
      <c r="P58" t="s">
        <v>80</v>
      </c>
      <c r="Q58">
        <v>7</v>
      </c>
    </row>
    <row r="59" spans="5:22">
      <c r="E59" s="134"/>
      <c r="F59" s="39" t="str">
        <f t="shared" si="5"/>
        <v>VCProfiler-SoftEvent_ACK[8]</v>
      </c>
      <c r="G59" s="40" t="s">
        <v>11</v>
      </c>
      <c r="H59" s="4" t="str">
        <f t="shared" ref="H59:H66" si="9">P59&amp;($B$13+1)&amp;"."&amp;Q59</f>
        <v>%I28.0</v>
      </c>
      <c r="M59" s="137"/>
      <c r="N59" s="15" t="s">
        <v>100</v>
      </c>
      <c r="O59" t="s">
        <v>101</v>
      </c>
      <c r="P59" t="s">
        <v>80</v>
      </c>
      <c r="Q59">
        <v>0</v>
      </c>
    </row>
    <row r="60" spans="5:22">
      <c r="E60" s="134"/>
      <c r="F60" s="39" t="str">
        <f t="shared" si="5"/>
        <v>VCProfiler-SoftEvent_ACK[9]</v>
      </c>
      <c r="G60" s="40" t="s">
        <v>11</v>
      </c>
      <c r="H60" s="4" t="str">
        <f t="shared" si="9"/>
        <v>%I28.1</v>
      </c>
      <c r="M60" s="137"/>
      <c r="O60" t="s">
        <v>102</v>
      </c>
      <c r="P60" t="s">
        <v>80</v>
      </c>
      <c r="Q60">
        <v>1</v>
      </c>
    </row>
    <row r="61" spans="5:22">
      <c r="E61" s="134"/>
      <c r="F61" s="39" t="str">
        <f t="shared" si="5"/>
        <v>VCProfiler-SoftEvent_ACK[10]</v>
      </c>
      <c r="G61" s="40" t="s">
        <v>11</v>
      </c>
      <c r="H61" s="4" t="str">
        <f t="shared" si="9"/>
        <v>%I28.2</v>
      </c>
      <c r="M61" s="137"/>
      <c r="O61" t="s">
        <v>103</v>
      </c>
      <c r="P61" t="s">
        <v>80</v>
      </c>
      <c r="Q61">
        <v>2</v>
      </c>
    </row>
    <row r="62" spans="5:22">
      <c r="E62" s="134"/>
      <c r="F62" s="39" t="str">
        <f t="shared" si="5"/>
        <v>VCProfiler-SoftEvent_ACK[11]</v>
      </c>
      <c r="G62" s="40" t="s">
        <v>11</v>
      </c>
      <c r="H62" s="4" t="str">
        <f t="shared" si="9"/>
        <v>%I28.3</v>
      </c>
      <c r="M62" s="137"/>
      <c r="O62" t="s">
        <v>104</v>
      </c>
      <c r="P62" t="s">
        <v>80</v>
      </c>
      <c r="Q62">
        <v>3</v>
      </c>
    </row>
    <row r="63" spans="5:22">
      <c r="E63" s="134"/>
      <c r="F63" s="39" t="str">
        <f t="shared" si="5"/>
        <v>VCProfiler-SoftEvent_ACK[12]</v>
      </c>
      <c r="G63" s="40" t="s">
        <v>11</v>
      </c>
      <c r="H63" s="4" t="str">
        <f t="shared" si="9"/>
        <v>%I28.4</v>
      </c>
      <c r="M63" s="137"/>
      <c r="O63" t="s">
        <v>105</v>
      </c>
      <c r="P63" t="s">
        <v>80</v>
      </c>
      <c r="Q63">
        <v>4</v>
      </c>
    </row>
    <row r="64" spans="5:22">
      <c r="E64" s="134"/>
      <c r="F64" s="39" t="str">
        <f t="shared" si="5"/>
        <v>VCProfiler-SoftEvent_ACK[13]</v>
      </c>
      <c r="G64" s="40" t="s">
        <v>11</v>
      </c>
      <c r="H64" s="4" t="str">
        <f t="shared" si="9"/>
        <v>%I28.5</v>
      </c>
      <c r="M64" s="137"/>
      <c r="O64" t="s">
        <v>106</v>
      </c>
      <c r="P64" t="s">
        <v>80</v>
      </c>
      <c r="Q64">
        <v>5</v>
      </c>
    </row>
    <row r="65" spans="5:17">
      <c r="E65" s="134"/>
      <c r="F65" s="39" t="str">
        <f t="shared" si="5"/>
        <v>VCProfiler-SoftEvent_ACK[14]</v>
      </c>
      <c r="G65" s="40" t="s">
        <v>11</v>
      </c>
      <c r="H65" s="4" t="str">
        <f t="shared" si="9"/>
        <v>%I28.6</v>
      </c>
      <c r="M65" s="137"/>
      <c r="O65" t="s">
        <v>107</v>
      </c>
      <c r="P65" t="s">
        <v>80</v>
      </c>
      <c r="Q65">
        <v>6</v>
      </c>
    </row>
    <row r="66" spans="5:17">
      <c r="E66" s="134"/>
      <c r="F66" s="39" t="str">
        <f t="shared" si="5"/>
        <v>VCProfiler-SoftEvent_ACK[15]</v>
      </c>
      <c r="G66" s="40" t="s">
        <v>11</v>
      </c>
      <c r="H66" s="4" t="str">
        <f t="shared" si="9"/>
        <v>%I28.7</v>
      </c>
      <c r="M66" s="137"/>
      <c r="O66" t="s">
        <v>108</v>
      </c>
      <c r="P66" t="s">
        <v>80</v>
      </c>
      <c r="Q66">
        <v>7</v>
      </c>
    </row>
    <row r="67" spans="5:17">
      <c r="E67" s="134"/>
      <c r="F67" s="39" t="str">
        <f t="shared" si="5"/>
        <v>VCProfiler-SoftEvent_ACK[16]</v>
      </c>
      <c r="G67" s="40" t="s">
        <v>11</v>
      </c>
      <c r="H67" s="4" t="str">
        <f t="shared" ref="H67:H74" si="10">P67&amp;($B$13+2)&amp;"."&amp;Q67</f>
        <v>%I29.0</v>
      </c>
      <c r="M67" s="137"/>
      <c r="N67" s="15" t="s">
        <v>109</v>
      </c>
      <c r="O67" t="s">
        <v>110</v>
      </c>
      <c r="P67" t="s">
        <v>80</v>
      </c>
      <c r="Q67">
        <v>0</v>
      </c>
    </row>
    <row r="68" spans="5:17">
      <c r="E68" s="134"/>
      <c r="F68" s="39" t="str">
        <f t="shared" si="5"/>
        <v>VCProfiler-SoftEvent_ACK[17]</v>
      </c>
      <c r="G68" s="40" t="s">
        <v>11</v>
      </c>
      <c r="H68" s="4" t="str">
        <f t="shared" si="10"/>
        <v>%I29.1</v>
      </c>
      <c r="M68" s="137"/>
      <c r="O68" t="s">
        <v>111</v>
      </c>
      <c r="P68" t="s">
        <v>80</v>
      </c>
      <c r="Q68">
        <v>1</v>
      </c>
    </row>
    <row r="69" spans="5:17">
      <c r="E69" s="134"/>
      <c r="F69" s="39" t="str">
        <f t="shared" ref="F69:F84" si="11">$B$2&amp;"-"&amp;O69</f>
        <v>VCProfiler-SoftEvent_ACK[18]</v>
      </c>
      <c r="G69" s="40" t="s">
        <v>11</v>
      </c>
      <c r="H69" s="4" t="str">
        <f t="shared" si="10"/>
        <v>%I29.2</v>
      </c>
      <c r="M69" s="137"/>
      <c r="O69" t="s">
        <v>112</v>
      </c>
      <c r="P69" t="s">
        <v>80</v>
      </c>
      <c r="Q69">
        <v>2</v>
      </c>
    </row>
    <row r="70" spans="5:17">
      <c r="E70" s="134"/>
      <c r="F70" s="39" t="str">
        <f t="shared" si="11"/>
        <v>VCProfiler-SoftEvent_ACK[19]</v>
      </c>
      <c r="G70" s="40" t="s">
        <v>11</v>
      </c>
      <c r="H70" s="4" t="str">
        <f t="shared" si="10"/>
        <v>%I29.3</v>
      </c>
      <c r="M70" s="137"/>
      <c r="O70" t="s">
        <v>113</v>
      </c>
      <c r="P70" t="s">
        <v>80</v>
      </c>
      <c r="Q70">
        <v>3</v>
      </c>
    </row>
    <row r="71" spans="5:17">
      <c r="E71" s="134"/>
      <c r="F71" s="39" t="str">
        <f t="shared" si="11"/>
        <v>VCProfiler-SoftEvent_ACK[20]</v>
      </c>
      <c r="G71" s="40" t="s">
        <v>11</v>
      </c>
      <c r="H71" s="4" t="str">
        <f t="shared" si="10"/>
        <v>%I29.4</v>
      </c>
      <c r="M71" s="137"/>
      <c r="O71" t="s">
        <v>114</v>
      </c>
      <c r="P71" t="s">
        <v>80</v>
      </c>
      <c r="Q71">
        <v>4</v>
      </c>
    </row>
    <row r="72" spans="5:17">
      <c r="E72" s="134"/>
      <c r="F72" s="39" t="str">
        <f t="shared" si="11"/>
        <v>VCProfiler-SoftEvent_ACK[21]</v>
      </c>
      <c r="G72" s="40" t="s">
        <v>11</v>
      </c>
      <c r="H72" s="4" t="str">
        <f t="shared" si="10"/>
        <v>%I29.5</v>
      </c>
      <c r="M72" s="137"/>
      <c r="O72" t="s">
        <v>115</v>
      </c>
      <c r="P72" t="s">
        <v>80</v>
      </c>
      <c r="Q72">
        <v>5</v>
      </c>
    </row>
    <row r="73" spans="5:17">
      <c r="E73" s="134"/>
      <c r="F73" s="39" t="str">
        <f t="shared" si="11"/>
        <v>VCProfiler-SoftEvent_ACK[22]</v>
      </c>
      <c r="G73" s="40" t="s">
        <v>11</v>
      </c>
      <c r="H73" s="4" t="str">
        <f t="shared" si="10"/>
        <v>%I29.6</v>
      </c>
      <c r="M73" s="137"/>
      <c r="O73" t="s">
        <v>116</v>
      </c>
      <c r="P73" t="s">
        <v>80</v>
      </c>
      <c r="Q73">
        <v>6</v>
      </c>
    </row>
    <row r="74" spans="5:17">
      <c r="E74" s="134"/>
      <c r="F74" s="39" t="str">
        <f t="shared" si="11"/>
        <v>VCProfiler-SoftEvent_ACK[23]</v>
      </c>
      <c r="G74" s="40" t="s">
        <v>11</v>
      </c>
      <c r="H74" s="4" t="str">
        <f t="shared" si="10"/>
        <v>%I29.7</v>
      </c>
      <c r="M74" s="137"/>
      <c r="O74" t="s">
        <v>117</v>
      </c>
      <c r="P74" t="s">
        <v>80</v>
      </c>
      <c r="Q74">
        <v>7</v>
      </c>
    </row>
    <row r="75" spans="5:17">
      <c r="E75" s="134"/>
      <c r="F75" s="39" t="str">
        <f t="shared" si="11"/>
        <v>VCProfiler-SoftEvent_ACK[24]</v>
      </c>
      <c r="G75" s="40" t="s">
        <v>11</v>
      </c>
      <c r="H75" s="4" t="str">
        <f t="shared" ref="H75:H82" si="12">P75&amp;($B$13+3)&amp;"."&amp;Q75</f>
        <v>%I30.0</v>
      </c>
      <c r="M75" s="137"/>
      <c r="N75" s="15" t="s">
        <v>118</v>
      </c>
      <c r="O75" t="s">
        <v>119</v>
      </c>
      <c r="P75" t="s">
        <v>80</v>
      </c>
      <c r="Q75">
        <v>0</v>
      </c>
    </row>
    <row r="76" spans="5:17">
      <c r="E76" s="134"/>
      <c r="F76" s="39" t="str">
        <f t="shared" si="11"/>
        <v>VCProfiler-SoftEvent_ACK[25]</v>
      </c>
      <c r="G76" s="40" t="s">
        <v>11</v>
      </c>
      <c r="H76" s="4" t="str">
        <f t="shared" si="12"/>
        <v>%I30.1</v>
      </c>
      <c r="M76" s="29"/>
      <c r="O76" t="s">
        <v>120</v>
      </c>
      <c r="P76" t="s">
        <v>80</v>
      </c>
      <c r="Q76">
        <v>1</v>
      </c>
    </row>
    <row r="77" spans="5:17">
      <c r="E77" s="134"/>
      <c r="F77" s="39" t="str">
        <f t="shared" si="11"/>
        <v>VCProfiler-SoftEvent_ACK[26]</v>
      </c>
      <c r="G77" s="40" t="s">
        <v>11</v>
      </c>
      <c r="H77" s="4" t="str">
        <f t="shared" si="12"/>
        <v>%I30.2</v>
      </c>
      <c r="O77" t="s">
        <v>121</v>
      </c>
      <c r="P77" t="s">
        <v>80</v>
      </c>
      <c r="Q77">
        <v>2</v>
      </c>
    </row>
    <row r="78" spans="5:17">
      <c r="E78" s="134"/>
      <c r="F78" s="39" t="str">
        <f t="shared" si="11"/>
        <v>VCProfiler-SoftEvent_ACK[27]</v>
      </c>
      <c r="G78" s="40" t="s">
        <v>11</v>
      </c>
      <c r="H78" s="4" t="str">
        <f t="shared" si="12"/>
        <v>%I30.3</v>
      </c>
      <c r="O78" t="s">
        <v>122</v>
      </c>
      <c r="P78" t="s">
        <v>80</v>
      </c>
      <c r="Q78">
        <v>3</v>
      </c>
    </row>
    <row r="79" spans="5:17">
      <c r="E79" s="134"/>
      <c r="F79" s="39" t="str">
        <f t="shared" si="11"/>
        <v>VCProfiler-SoftEvent_ACK[28]</v>
      </c>
      <c r="G79" s="40" t="s">
        <v>11</v>
      </c>
      <c r="H79" s="4" t="str">
        <f t="shared" si="12"/>
        <v>%I30.4</v>
      </c>
      <c r="O79" t="s">
        <v>123</v>
      </c>
      <c r="P79" t="s">
        <v>80</v>
      </c>
      <c r="Q79">
        <v>4</v>
      </c>
    </row>
    <row r="80" spans="5:17">
      <c r="E80" s="134"/>
      <c r="F80" s="39" t="str">
        <f t="shared" si="11"/>
        <v>VCProfiler-SoftEvent_ACK[29]</v>
      </c>
      <c r="G80" s="40" t="s">
        <v>11</v>
      </c>
      <c r="H80" s="4" t="str">
        <f t="shared" si="12"/>
        <v>%I30.5</v>
      </c>
      <c r="O80" t="s">
        <v>124</v>
      </c>
      <c r="P80" t="s">
        <v>80</v>
      </c>
      <c r="Q80">
        <v>5</v>
      </c>
    </row>
    <row r="81" spans="5:22">
      <c r="E81" s="134"/>
      <c r="F81" s="39" t="str">
        <f t="shared" si="11"/>
        <v>VCProfiler-SoftEvent_ACK[30]</v>
      </c>
      <c r="G81" s="40" t="s">
        <v>11</v>
      </c>
      <c r="H81" s="4" t="str">
        <f t="shared" si="12"/>
        <v>%I30.6</v>
      </c>
      <c r="O81" t="s">
        <v>125</v>
      </c>
      <c r="P81" t="s">
        <v>80</v>
      </c>
      <c r="Q81">
        <v>6</v>
      </c>
    </row>
    <row r="82" spans="5:22">
      <c r="E82" s="135"/>
      <c r="F82" s="52" t="str">
        <f t="shared" si="11"/>
        <v>VCProfiler-SoftEvent_ACK[31]</v>
      </c>
      <c r="G82" s="53" t="s">
        <v>11</v>
      </c>
      <c r="H82" s="20" t="str">
        <f t="shared" si="12"/>
        <v>%I30.7</v>
      </c>
      <c r="O82" t="s">
        <v>126</v>
      </c>
      <c r="P82" t="s">
        <v>80</v>
      </c>
      <c r="Q82">
        <v>7</v>
      </c>
    </row>
    <row r="83" spans="5:22">
      <c r="E83" s="133" t="s">
        <v>33</v>
      </c>
      <c r="F83" s="39" t="str">
        <f t="shared" si="11"/>
        <v>VCProfiler-Trigger_Camera</v>
      </c>
      <c r="G83" s="40" t="s">
        <v>11</v>
      </c>
      <c r="H83" s="4" t="str">
        <f>P83&amp;$B$14&amp;"."&amp;Q83</f>
        <v>%Q26.0</v>
      </c>
      <c r="N83" s="15" t="s">
        <v>33</v>
      </c>
      <c r="O83" t="s">
        <v>127</v>
      </c>
      <c r="P83" t="s">
        <v>14</v>
      </c>
      <c r="Q83">
        <v>0</v>
      </c>
    </row>
    <row r="84" spans="5:22">
      <c r="E84" s="135"/>
      <c r="F84" s="52" t="str">
        <f t="shared" si="11"/>
        <v>VCProfiler-Inspection_Results_ACK</v>
      </c>
      <c r="G84" s="53" t="s">
        <v>11</v>
      </c>
      <c r="H84" s="20" t="str">
        <f>P84&amp;$B$14&amp;"."&amp;Q84</f>
        <v>%Q26.1</v>
      </c>
      <c r="O84" t="s">
        <v>128</v>
      </c>
      <c r="P84" t="s">
        <v>14</v>
      </c>
      <c r="Q84">
        <v>1</v>
      </c>
      <c r="S84" s="15"/>
    </row>
    <row r="85" spans="5:22">
      <c r="E85" s="133" t="s">
        <v>129</v>
      </c>
      <c r="F85" s="39" t="str">
        <f t="shared" ref="F85:F94" si="13">$B$2&amp;"-"&amp;O85</f>
        <v>VCProfiler-Trigger_Ready</v>
      </c>
      <c r="G85" s="40" t="s">
        <v>11</v>
      </c>
      <c r="H85" s="4" t="str">
        <f>P85&amp;$B$15&amp;"."&amp;Q85</f>
        <v>%I35.0</v>
      </c>
      <c r="N85" s="87" t="s">
        <v>35</v>
      </c>
      <c r="O85" t="s">
        <v>130</v>
      </c>
      <c r="P85" t="s">
        <v>80</v>
      </c>
      <c r="Q85" s="3">
        <v>0</v>
      </c>
    </row>
    <row r="86" spans="5:22">
      <c r="E86" s="134"/>
      <c r="F86" s="39" t="str">
        <f t="shared" si="13"/>
        <v>VCProfiler-Trigger_ACK</v>
      </c>
      <c r="G86" s="40" t="s">
        <v>11</v>
      </c>
      <c r="H86" s="4" t="str">
        <f t="shared" ref="H86:H91" si="14">P86&amp;$B$15&amp;"."&amp;Q86</f>
        <v>%I35.1</v>
      </c>
      <c r="N86" s="87"/>
      <c r="O86" t="s">
        <v>131</v>
      </c>
      <c r="P86" t="s">
        <v>80</v>
      </c>
      <c r="Q86" s="3">
        <v>1</v>
      </c>
      <c r="S86" s="87"/>
      <c r="V86" s="3"/>
    </row>
    <row r="87" spans="5:22">
      <c r="E87" s="134"/>
      <c r="F87" s="39" t="str">
        <f t="shared" si="13"/>
        <v>VCProfiler-Acquisition_Error</v>
      </c>
      <c r="G87" s="40" t="s">
        <v>11</v>
      </c>
      <c r="H87" s="4" t="str">
        <f t="shared" si="14"/>
        <v>%I35.2</v>
      </c>
      <c r="N87" s="87"/>
      <c r="O87" t="s">
        <v>132</v>
      </c>
      <c r="P87" t="s">
        <v>80</v>
      </c>
      <c r="Q87" s="3">
        <v>2</v>
      </c>
      <c r="S87" s="87"/>
      <c r="V87" s="3"/>
    </row>
    <row r="88" spans="5:22">
      <c r="E88" s="134"/>
      <c r="F88" s="39" t="str">
        <f t="shared" si="13"/>
        <v>VCProfiler-Inspection_Completed</v>
      </c>
      <c r="G88" s="40" t="s">
        <v>11</v>
      </c>
      <c r="H88" s="4" t="str">
        <f t="shared" si="14"/>
        <v>%I35.4</v>
      </c>
      <c r="N88" s="87"/>
      <c r="O88" t="s">
        <v>133</v>
      </c>
      <c r="P88" t="s">
        <v>80</v>
      </c>
      <c r="Q88" s="3">
        <v>4</v>
      </c>
      <c r="S88" s="87"/>
      <c r="V88" s="3"/>
    </row>
    <row r="89" spans="5:22">
      <c r="E89" s="134"/>
      <c r="F89" s="39" t="str">
        <f t="shared" si="13"/>
        <v>VCProfiler-Results_Valid</v>
      </c>
      <c r="G89" s="40" t="s">
        <v>11</v>
      </c>
      <c r="H89" s="4" t="str">
        <f t="shared" si="14"/>
        <v>%I35.5</v>
      </c>
      <c r="N89" s="87"/>
      <c r="O89" t="s">
        <v>134</v>
      </c>
      <c r="P89" t="s">
        <v>80</v>
      </c>
      <c r="Q89" s="3">
        <v>5</v>
      </c>
      <c r="S89" s="87"/>
      <c r="V89" s="3"/>
    </row>
    <row r="90" spans="5:22">
      <c r="E90" s="134"/>
      <c r="F90" s="39" t="str">
        <f t="shared" si="13"/>
        <v>VCProfiler-Inspection_Passed</v>
      </c>
      <c r="G90" s="40" t="s">
        <v>11</v>
      </c>
      <c r="H90" s="4" t="str">
        <f t="shared" si="14"/>
        <v>%I35.6</v>
      </c>
      <c r="N90" s="87"/>
      <c r="O90" t="s">
        <v>135</v>
      </c>
      <c r="P90" t="s">
        <v>80</v>
      </c>
      <c r="Q90" s="3">
        <v>6</v>
      </c>
      <c r="S90" s="87"/>
      <c r="V90" s="3"/>
    </row>
    <row r="91" spans="5:22">
      <c r="E91" s="135"/>
      <c r="F91" s="52" t="str">
        <f t="shared" si="13"/>
        <v>VCProfiler-Results_Buffer_Overrun</v>
      </c>
      <c r="G91" s="53" t="s">
        <v>11</v>
      </c>
      <c r="H91" s="20" t="str">
        <f t="shared" si="14"/>
        <v>%I35.7</v>
      </c>
      <c r="N91" s="87"/>
      <c r="O91" t="s">
        <v>136</v>
      </c>
      <c r="P91" t="s">
        <v>80</v>
      </c>
      <c r="Q91" s="3">
        <v>7</v>
      </c>
      <c r="S91" s="87"/>
      <c r="V91" s="3"/>
    </row>
    <row r="92" spans="5:22">
      <c r="E92" s="35" t="s">
        <v>137</v>
      </c>
      <c r="F92" s="54" t="str">
        <f t="shared" si="13"/>
        <v>VCProfiler-Inspected_Image_ID</v>
      </c>
      <c r="G92" s="55" t="s">
        <v>87</v>
      </c>
      <c r="H92" s="28" t="str">
        <f>P92&amp;($B$15+4)</f>
        <v>%IW39</v>
      </c>
      <c r="N92" s="87"/>
      <c r="O92" t="s">
        <v>138</v>
      </c>
      <c r="P92" t="s">
        <v>89</v>
      </c>
      <c r="Q92" s="3"/>
      <c r="S92" s="87"/>
      <c r="V92" s="3"/>
    </row>
    <row r="93" spans="5:22">
      <c r="E93" s="35" t="s">
        <v>139</v>
      </c>
      <c r="F93" s="54" t="str">
        <f t="shared" si="13"/>
        <v>VCProfiler-Inspection_Result_Code</v>
      </c>
      <c r="G93" s="55" t="s">
        <v>22</v>
      </c>
      <c r="H93" s="28" t="str">
        <f>P93&amp;($B$15+6)</f>
        <v>%IW41</v>
      </c>
      <c r="O93" t="s">
        <v>140</v>
      </c>
      <c r="P93" t="s">
        <v>89</v>
      </c>
      <c r="Q93" s="3"/>
      <c r="S93" s="87"/>
      <c r="V93" s="3"/>
    </row>
    <row r="94" spans="5:22" ht="15" thickBot="1">
      <c r="E94" s="107" t="s">
        <v>37</v>
      </c>
      <c r="F94" s="49" t="str">
        <f t="shared" si="13"/>
        <v>VCProfiler-Inspection_Results</v>
      </c>
      <c r="G94" s="50" t="s">
        <v>141</v>
      </c>
      <c r="H94" s="2" t="str">
        <f>P94&amp;$B$16</f>
        <v>%ID290</v>
      </c>
      <c r="N94" s="15" t="s">
        <v>37</v>
      </c>
      <c r="O94" t="s">
        <v>142</v>
      </c>
      <c r="P94" t="s">
        <v>143</v>
      </c>
      <c r="S94" s="87"/>
      <c r="V94" s="3"/>
    </row>
    <row r="95" spans="5:22">
      <c r="S95" s="15"/>
    </row>
    <row r="96" spans="5:22">
      <c r="I96" s="56"/>
    </row>
  </sheetData>
  <mergeCells count="26">
    <mergeCell ref="T3:W3"/>
    <mergeCell ref="N3:Q3"/>
    <mergeCell ref="A20:B20"/>
    <mergeCell ref="A21:B21"/>
    <mergeCell ref="A22:B22"/>
    <mergeCell ref="F3:H3"/>
    <mergeCell ref="M5:M75"/>
    <mergeCell ref="A26:B26"/>
    <mergeCell ref="A27:B27"/>
    <mergeCell ref="A28:B28"/>
    <mergeCell ref="A29:B29"/>
    <mergeCell ref="A30:B30"/>
    <mergeCell ref="A23:B23"/>
    <mergeCell ref="A24:B24"/>
    <mergeCell ref="A2:A3"/>
    <mergeCell ref="B2:B3"/>
    <mergeCell ref="E3:E4"/>
    <mergeCell ref="E5:E8"/>
    <mergeCell ref="A18:B18"/>
    <mergeCell ref="A19:B19"/>
    <mergeCell ref="E83:E84"/>
    <mergeCell ref="E85:E91"/>
    <mergeCell ref="E10:E41"/>
    <mergeCell ref="E42:E44"/>
    <mergeCell ref="E45:E48"/>
    <mergeCell ref="E51:E82"/>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73DDA-9A47-49EC-B309-6D6223EADF6A}">
  <sheetPr codeName="Sheet6"/>
  <dimension ref="A1:Q160"/>
  <sheetViews>
    <sheetView workbookViewId="0">
      <selection activeCell="D4" sqref="D4"/>
    </sheetView>
  </sheetViews>
  <sheetFormatPr defaultColWidth="8.88671875" defaultRowHeight="15" customHeight="1"/>
  <cols>
    <col min="1" max="1" width="30.5546875" style="14" customWidth="1"/>
    <col min="2" max="3" width="12.5546875" style="11" customWidth="1"/>
    <col min="4" max="4" width="12.5546875" style="14" customWidth="1"/>
    <col min="5" max="5" width="32.5546875" style="87" customWidth="1"/>
    <col min="6" max="6" width="32.5546875" style="14" customWidth="1"/>
    <col min="7" max="8" width="10.5546875" style="11" customWidth="1"/>
    <col min="9" max="12" width="8.88671875" style="14" hidden="1" customWidth="1"/>
    <col min="13" max="13" width="40.5546875" style="14" hidden="1" customWidth="1"/>
    <col min="14" max="15" width="24.5546875" style="14" hidden="1" customWidth="1"/>
    <col min="16" max="17" width="8.88671875" style="14" hidden="1" customWidth="1"/>
    <col min="18" max="16384" width="8.88671875" style="14"/>
  </cols>
  <sheetData>
    <row r="1" spans="1:17" ht="15" customHeight="1" thickBot="1">
      <c r="B1" s="14"/>
      <c r="C1" s="14"/>
    </row>
    <row r="2" spans="1:17" ht="15" customHeight="1">
      <c r="A2" s="123" t="s">
        <v>353</v>
      </c>
      <c r="B2" s="207" t="s">
        <v>354</v>
      </c>
      <c r="C2" s="207"/>
      <c r="E2" s="196" t="s">
        <v>355</v>
      </c>
      <c r="F2" s="194" t="s">
        <v>2</v>
      </c>
      <c r="G2" s="194"/>
      <c r="H2" s="195"/>
      <c r="N2" s="167" t="s">
        <v>3</v>
      </c>
      <c r="O2" s="167"/>
      <c r="P2" s="167"/>
      <c r="Q2" s="167"/>
    </row>
    <row r="3" spans="1:17" ht="15" customHeight="1" thickBot="1">
      <c r="A3" s="124"/>
      <c r="B3" s="208"/>
      <c r="C3" s="208"/>
      <c r="E3" s="197"/>
      <c r="F3" s="88" t="s">
        <v>4</v>
      </c>
      <c r="G3" s="88" t="s">
        <v>5</v>
      </c>
      <c r="H3" s="89" t="s">
        <v>6</v>
      </c>
      <c r="Q3" s="14" t="s">
        <v>7</v>
      </c>
    </row>
    <row r="4" spans="1:17" ht="15" customHeight="1" thickBot="1">
      <c r="E4" s="193" t="str">
        <f>N4</f>
        <v>System Control (Byte 0)</v>
      </c>
      <c r="F4" s="90" t="str">
        <f t="shared" ref="F4:F41" si="0">$B$2&amp;"-"&amp;O4</f>
        <v>cc24-TriggerEnable</v>
      </c>
      <c r="G4" s="10" t="s">
        <v>11</v>
      </c>
      <c r="H4" s="25" t="str">
        <f>P4&amp;$C$7&amp;"."&amp;Q4</f>
        <v>%Q100.0</v>
      </c>
      <c r="M4" s="192" t="s">
        <v>12</v>
      </c>
      <c r="N4" s="14" t="s">
        <v>356</v>
      </c>
      <c r="O4" s="14" t="s">
        <v>13</v>
      </c>
      <c r="P4" s="14" t="s">
        <v>14</v>
      </c>
      <c r="Q4" s="14">
        <v>0</v>
      </c>
    </row>
    <row r="5" spans="1:17" ht="15" customHeight="1">
      <c r="A5" s="201" t="s">
        <v>8</v>
      </c>
      <c r="B5" s="209" t="s">
        <v>9</v>
      </c>
      <c r="C5" s="210"/>
      <c r="E5" s="193"/>
      <c r="F5" s="91" t="str">
        <f t="shared" si="0"/>
        <v>cc24-BufferResultsEnable</v>
      </c>
      <c r="G5" s="11" t="s">
        <v>11</v>
      </c>
      <c r="H5" s="4" t="str">
        <f t="shared" ref="H5:H8" si="1">P5&amp;$C$7&amp;"."&amp;Q5</f>
        <v>%Q100.1</v>
      </c>
      <c r="M5" s="192"/>
      <c r="O5" s="14" t="s">
        <v>16</v>
      </c>
      <c r="P5" s="14" t="s">
        <v>14</v>
      </c>
      <c r="Q5" s="14">
        <v>1</v>
      </c>
    </row>
    <row r="6" spans="1:17" ht="15" customHeight="1" thickBot="1">
      <c r="A6" s="202"/>
      <c r="B6" s="92" t="s">
        <v>357</v>
      </c>
      <c r="C6" s="93" t="s">
        <v>358</v>
      </c>
      <c r="E6" s="193"/>
      <c r="F6" s="91" t="str">
        <f t="shared" si="0"/>
        <v>cc24-InitiateJobLoad</v>
      </c>
      <c r="G6" s="11" t="s">
        <v>11</v>
      </c>
      <c r="H6" s="4" t="str">
        <f t="shared" si="1"/>
        <v>%Q100.4</v>
      </c>
      <c r="M6" s="192"/>
      <c r="O6" s="14" t="s">
        <v>359</v>
      </c>
      <c r="P6" s="14" t="s">
        <v>14</v>
      </c>
      <c r="Q6" s="14">
        <v>4</v>
      </c>
    </row>
    <row r="7" spans="1:17" ht="15" customHeight="1">
      <c r="A7" s="94" t="s">
        <v>360</v>
      </c>
      <c r="B7" s="82">
        <v>100</v>
      </c>
      <c r="C7" s="83">
        <v>100</v>
      </c>
      <c r="E7" s="193"/>
      <c r="F7" s="91" t="str">
        <f t="shared" si="0"/>
        <v>cc24-ClearError</v>
      </c>
      <c r="G7" s="11" t="s">
        <v>11</v>
      </c>
      <c r="H7" s="4" t="str">
        <f t="shared" si="1"/>
        <v>%Q100.6</v>
      </c>
      <c r="M7" s="192"/>
      <c r="O7" s="14" t="s">
        <v>20</v>
      </c>
      <c r="P7" s="14" t="s">
        <v>14</v>
      </c>
      <c r="Q7" s="14">
        <v>6</v>
      </c>
    </row>
    <row r="8" spans="1:17" ht="15" customHeight="1">
      <c r="A8" s="95" t="s">
        <v>361</v>
      </c>
      <c r="B8" s="84">
        <v>116</v>
      </c>
      <c r="C8" s="85">
        <v>116</v>
      </c>
      <c r="E8" s="193"/>
      <c r="F8" s="96" t="str">
        <f t="shared" si="0"/>
        <v>cc24-SetOffline</v>
      </c>
      <c r="G8" s="12" t="s">
        <v>11</v>
      </c>
      <c r="H8" s="20" t="str">
        <f t="shared" si="1"/>
        <v>%Q100.7</v>
      </c>
      <c r="M8" s="192"/>
      <c r="O8" s="14" t="s">
        <v>273</v>
      </c>
      <c r="P8" s="14" t="s">
        <v>14</v>
      </c>
      <c r="Q8" s="14">
        <v>7</v>
      </c>
    </row>
    <row r="9" spans="1:17" ht="15" customHeight="1">
      <c r="A9" s="95" t="s">
        <v>362</v>
      </c>
      <c r="B9" s="84">
        <v>124</v>
      </c>
      <c r="C9" s="85">
        <v>117</v>
      </c>
      <c r="E9" s="35" t="str">
        <f t="shared" ref="E9:E61" si="2">N9</f>
        <v>System Control (Byte 2-3)</v>
      </c>
      <c r="F9" s="97" t="str">
        <f t="shared" si="0"/>
        <v>cc24-JobLoadID</v>
      </c>
      <c r="G9" s="27" t="s">
        <v>363</v>
      </c>
      <c r="H9" s="28" t="str">
        <f>P9&amp;($C$7+2)</f>
        <v>%QW102</v>
      </c>
      <c r="M9" s="192"/>
      <c r="N9" s="14" t="s">
        <v>364</v>
      </c>
      <c r="O9" s="14" t="s">
        <v>365</v>
      </c>
      <c r="P9" s="14" t="s">
        <v>24</v>
      </c>
    </row>
    <row r="10" spans="1:17" ht="15" customHeight="1">
      <c r="A10" s="95" t="s">
        <v>366</v>
      </c>
      <c r="B10" s="84">
        <v>132</v>
      </c>
      <c r="C10" s="85">
        <v>118</v>
      </c>
      <c r="E10" s="191" t="str">
        <f t="shared" si="2"/>
        <v>System Control (Byte 4)</v>
      </c>
      <c r="F10" s="90" t="str">
        <f t="shared" si="0"/>
        <v>cc24-SoftEvent[0]</v>
      </c>
      <c r="G10" s="10" t="s">
        <v>11</v>
      </c>
      <c r="H10" s="25" t="str">
        <f>P10&amp;($C$7+4)&amp;"."&amp;Q10</f>
        <v>%Q104.0</v>
      </c>
      <c r="M10" s="192"/>
      <c r="N10" s="14" t="s">
        <v>367</v>
      </c>
      <c r="O10" s="14" t="s">
        <v>26</v>
      </c>
      <c r="P10" s="14" t="s">
        <v>14</v>
      </c>
      <c r="Q10" s="14">
        <v>0</v>
      </c>
    </row>
    <row r="11" spans="1:17" ht="15" customHeight="1">
      <c r="A11" s="95" t="s">
        <v>368</v>
      </c>
      <c r="B11" s="84">
        <v>140</v>
      </c>
      <c r="C11" s="85">
        <v>119</v>
      </c>
      <c r="E11" s="191"/>
      <c r="F11" s="91" t="str">
        <f t="shared" si="0"/>
        <v>cc24-SoftEvent[1]</v>
      </c>
      <c r="G11" s="11" t="s">
        <v>11</v>
      </c>
      <c r="H11" s="4" t="str">
        <f t="shared" ref="H11:H17" si="3">P11&amp;($C$7+4)&amp;"."&amp;Q11</f>
        <v>%Q104.1</v>
      </c>
      <c r="M11" s="192"/>
      <c r="O11" s="14" t="s">
        <v>28</v>
      </c>
      <c r="P11" s="14" t="s">
        <v>14</v>
      </c>
      <c r="Q11" s="14">
        <v>1</v>
      </c>
    </row>
    <row r="12" spans="1:17" ht="15" customHeight="1">
      <c r="A12" s="95" t="s">
        <v>159</v>
      </c>
      <c r="B12" s="98"/>
      <c r="C12" s="85">
        <v>120</v>
      </c>
      <c r="E12" s="191"/>
      <c r="F12" s="91" t="str">
        <f t="shared" si="0"/>
        <v>cc24-SoftEvent[2]</v>
      </c>
      <c r="G12" s="11" t="s">
        <v>11</v>
      </c>
      <c r="H12" s="4" t="str">
        <f t="shared" si="3"/>
        <v>%Q104.2</v>
      </c>
      <c r="M12" s="192"/>
      <c r="O12" s="14" t="s">
        <v>30</v>
      </c>
      <c r="P12" s="14" t="s">
        <v>14</v>
      </c>
      <c r="Q12" s="14">
        <v>2</v>
      </c>
    </row>
    <row r="13" spans="1:17" ht="15" customHeight="1" thickBot="1">
      <c r="A13" s="99" t="s">
        <v>369</v>
      </c>
      <c r="B13" s="86">
        <v>148</v>
      </c>
      <c r="C13" s="100"/>
      <c r="E13" s="191"/>
      <c r="F13" s="91" t="str">
        <f t="shared" si="0"/>
        <v>cc24-SoftEvent[3]</v>
      </c>
      <c r="G13" s="11" t="s">
        <v>11</v>
      </c>
      <c r="H13" s="4" t="str">
        <f t="shared" si="3"/>
        <v>%Q104.3</v>
      </c>
      <c r="M13" s="192"/>
      <c r="O13" s="14" t="s">
        <v>32</v>
      </c>
      <c r="P13" s="14" t="s">
        <v>14</v>
      </c>
      <c r="Q13" s="14">
        <v>3</v>
      </c>
    </row>
    <row r="14" spans="1:17" ht="15" customHeight="1" thickBot="1">
      <c r="B14" s="101"/>
      <c r="E14" s="191"/>
      <c r="F14" s="91" t="str">
        <f t="shared" si="0"/>
        <v>cc24-SoftEvent[4]</v>
      </c>
      <c r="G14" s="11" t="s">
        <v>11</v>
      </c>
      <c r="H14" s="4" t="str">
        <f t="shared" si="3"/>
        <v>%Q104.4</v>
      </c>
      <c r="M14" s="192"/>
      <c r="O14" s="14" t="s">
        <v>34</v>
      </c>
      <c r="P14" s="14" t="s">
        <v>14</v>
      </c>
      <c r="Q14" s="14">
        <v>4</v>
      </c>
    </row>
    <row r="15" spans="1:17" ht="15" customHeight="1">
      <c r="A15" s="138" t="s">
        <v>40</v>
      </c>
      <c r="B15" s="203"/>
      <c r="C15" s="139"/>
      <c r="E15" s="191"/>
      <c r="F15" s="91" t="str">
        <f t="shared" si="0"/>
        <v>cc24-SoftEvent[5]</v>
      </c>
      <c r="G15" s="11" t="s">
        <v>11</v>
      </c>
      <c r="H15" s="4" t="str">
        <f t="shared" si="3"/>
        <v>%Q104.5</v>
      </c>
      <c r="M15" s="192"/>
      <c r="O15" s="14" t="s">
        <v>36</v>
      </c>
      <c r="P15" s="14" t="s">
        <v>14</v>
      </c>
      <c r="Q15" s="14">
        <v>5</v>
      </c>
    </row>
    <row r="16" spans="1:17" ht="15" customHeight="1">
      <c r="A16" s="204" t="s">
        <v>370</v>
      </c>
      <c r="B16" s="205"/>
      <c r="C16" s="206"/>
      <c r="E16" s="191"/>
      <c r="F16" s="91" t="str">
        <f t="shared" si="0"/>
        <v>cc24-SoftEvent[6]</v>
      </c>
      <c r="G16" s="11" t="s">
        <v>11</v>
      </c>
      <c r="H16" s="4" t="str">
        <f t="shared" si="3"/>
        <v>%Q104.6</v>
      </c>
      <c r="M16" s="192"/>
      <c r="O16" s="14" t="s">
        <v>38</v>
      </c>
      <c r="P16" s="14" t="s">
        <v>14</v>
      </c>
      <c r="Q16" s="14">
        <v>6</v>
      </c>
    </row>
    <row r="17" spans="1:17" ht="15" customHeight="1">
      <c r="A17" s="204" t="s">
        <v>371</v>
      </c>
      <c r="B17" s="205"/>
      <c r="C17" s="206"/>
      <c r="E17" s="191"/>
      <c r="F17" s="96" t="str">
        <f t="shared" si="0"/>
        <v>cc24-SoftEvent[7]</v>
      </c>
      <c r="G17" s="12" t="s">
        <v>11</v>
      </c>
      <c r="H17" s="20" t="str">
        <f t="shared" si="3"/>
        <v>%Q104.7</v>
      </c>
      <c r="M17" s="192"/>
      <c r="O17" s="14" t="s">
        <v>39</v>
      </c>
      <c r="P17" s="14" t="s">
        <v>14</v>
      </c>
      <c r="Q17" s="14">
        <v>7</v>
      </c>
    </row>
    <row r="18" spans="1:17" ht="15" customHeight="1">
      <c r="A18" s="204" t="s">
        <v>372</v>
      </c>
      <c r="B18" s="205"/>
      <c r="C18" s="206"/>
      <c r="E18" s="191" t="str">
        <f t="shared" si="2"/>
        <v>System Control (Byte 5)</v>
      </c>
      <c r="F18" s="90" t="str">
        <f t="shared" si="0"/>
        <v>cc24-SoftEvent[8]</v>
      </c>
      <c r="G18" s="10" t="s">
        <v>11</v>
      </c>
      <c r="H18" s="25" t="str">
        <f>P18&amp;($C$7+5)&amp;"."&amp;Q18</f>
        <v>%Q105.0</v>
      </c>
      <c r="M18" s="192"/>
      <c r="N18" s="14" t="s">
        <v>373</v>
      </c>
      <c r="O18" s="14" t="s">
        <v>41</v>
      </c>
      <c r="P18" s="14" t="s">
        <v>14</v>
      </c>
      <c r="Q18" s="14">
        <v>0</v>
      </c>
    </row>
    <row r="19" spans="1:17" ht="15" customHeight="1">
      <c r="A19" s="204" t="s">
        <v>374</v>
      </c>
      <c r="B19" s="205"/>
      <c r="C19" s="206"/>
      <c r="E19" s="191"/>
      <c r="F19" s="91" t="str">
        <f t="shared" si="0"/>
        <v>cc24-SoftEvent[9]</v>
      </c>
      <c r="G19" s="11" t="s">
        <v>11</v>
      </c>
      <c r="H19" s="4" t="str">
        <f t="shared" ref="H19:H25" si="4">P19&amp;($C$7+5)&amp;"."&amp;Q19</f>
        <v>%Q105.1</v>
      </c>
      <c r="M19" s="192"/>
      <c r="O19" s="14" t="s">
        <v>44</v>
      </c>
      <c r="P19" s="14" t="s">
        <v>14</v>
      </c>
      <c r="Q19" s="14">
        <v>1</v>
      </c>
    </row>
    <row r="20" spans="1:17" ht="15" customHeight="1">
      <c r="A20" s="204" t="s">
        <v>375</v>
      </c>
      <c r="B20" s="205"/>
      <c r="C20" s="206"/>
      <c r="E20" s="191"/>
      <c r="F20" s="91" t="str">
        <f t="shared" si="0"/>
        <v>cc24-SoftEvent[10]</v>
      </c>
      <c r="G20" s="11" t="s">
        <v>11</v>
      </c>
      <c r="H20" s="4" t="str">
        <f t="shared" si="4"/>
        <v>%Q105.2</v>
      </c>
      <c r="M20" s="192"/>
      <c r="O20" s="14" t="s">
        <v>46</v>
      </c>
      <c r="P20" s="14" t="s">
        <v>14</v>
      </c>
      <c r="Q20" s="14">
        <v>2</v>
      </c>
    </row>
    <row r="21" spans="1:17" ht="15" customHeight="1">
      <c r="A21" s="204" t="s">
        <v>376</v>
      </c>
      <c r="B21" s="205"/>
      <c r="C21" s="206"/>
      <c r="E21" s="191"/>
      <c r="F21" s="91" t="str">
        <f t="shared" si="0"/>
        <v>cc24-SoftEvent[11]</v>
      </c>
      <c r="G21" s="11" t="s">
        <v>11</v>
      </c>
      <c r="H21" s="4" t="str">
        <f t="shared" si="4"/>
        <v>%Q105.3</v>
      </c>
      <c r="M21" s="192"/>
      <c r="O21" s="14" t="s">
        <v>48</v>
      </c>
      <c r="P21" s="14" t="s">
        <v>14</v>
      </c>
      <c r="Q21" s="14">
        <v>3</v>
      </c>
    </row>
    <row r="22" spans="1:17" ht="15" customHeight="1" thickBot="1">
      <c r="A22" s="198" t="s">
        <v>377</v>
      </c>
      <c r="B22" s="199"/>
      <c r="C22" s="200"/>
      <c r="E22" s="191"/>
      <c r="F22" s="91" t="str">
        <f t="shared" si="0"/>
        <v>cc24-SoftEvent[12]</v>
      </c>
      <c r="G22" s="11" t="s">
        <v>11</v>
      </c>
      <c r="H22" s="4" t="str">
        <f t="shared" si="4"/>
        <v>%Q105.4</v>
      </c>
      <c r="M22" s="192"/>
      <c r="O22" s="14" t="s">
        <v>50</v>
      </c>
      <c r="P22" s="14" t="s">
        <v>14</v>
      </c>
      <c r="Q22" s="14">
        <v>4</v>
      </c>
    </row>
    <row r="23" spans="1:17" ht="15" customHeight="1">
      <c r="B23" s="14"/>
      <c r="C23" s="14"/>
      <c r="E23" s="191"/>
      <c r="F23" s="91" t="str">
        <f t="shared" si="0"/>
        <v>cc24-SoftEvent[13]</v>
      </c>
      <c r="G23" s="11" t="s">
        <v>11</v>
      </c>
      <c r="H23" s="4" t="str">
        <f t="shared" si="4"/>
        <v>%Q105.5</v>
      </c>
      <c r="M23" s="192"/>
      <c r="O23" s="14" t="s">
        <v>52</v>
      </c>
      <c r="P23" s="14" t="s">
        <v>14</v>
      </c>
      <c r="Q23" s="14">
        <v>5</v>
      </c>
    </row>
    <row r="24" spans="1:17" ht="15" customHeight="1">
      <c r="E24" s="191"/>
      <c r="F24" s="91" t="str">
        <f t="shared" si="0"/>
        <v>cc24-SoftEvent[14]</v>
      </c>
      <c r="G24" s="11" t="s">
        <v>11</v>
      </c>
      <c r="H24" s="4" t="str">
        <f t="shared" si="4"/>
        <v>%Q105.6</v>
      </c>
      <c r="M24" s="192"/>
      <c r="O24" s="14" t="s">
        <v>54</v>
      </c>
      <c r="P24" s="14" t="s">
        <v>14</v>
      </c>
      <c r="Q24" s="14">
        <v>6</v>
      </c>
    </row>
    <row r="25" spans="1:17" ht="15" customHeight="1">
      <c r="E25" s="191"/>
      <c r="F25" s="96" t="str">
        <f t="shared" si="0"/>
        <v>cc24-SoftEvent[15]</v>
      </c>
      <c r="G25" s="12" t="s">
        <v>11</v>
      </c>
      <c r="H25" s="20" t="str">
        <f t="shared" si="4"/>
        <v>%Q105.7</v>
      </c>
      <c r="M25" s="192"/>
      <c r="O25" s="14" t="s">
        <v>55</v>
      </c>
      <c r="P25" s="14" t="s">
        <v>14</v>
      </c>
      <c r="Q25" s="14">
        <v>7</v>
      </c>
    </row>
    <row r="26" spans="1:17" ht="15" customHeight="1">
      <c r="E26" s="191" t="str">
        <f t="shared" si="2"/>
        <v>System Control (Byte 6)</v>
      </c>
      <c r="F26" s="90" t="str">
        <f t="shared" si="0"/>
        <v>cc24-SoftEvent[16]</v>
      </c>
      <c r="G26" s="10" t="s">
        <v>11</v>
      </c>
      <c r="H26" s="25" t="str">
        <f>P26&amp;($C$7+6)&amp;"."&amp;Q26</f>
        <v>%Q106.0</v>
      </c>
      <c r="M26" s="192"/>
      <c r="N26" s="14" t="s">
        <v>378</v>
      </c>
      <c r="O26" s="14" t="s">
        <v>57</v>
      </c>
      <c r="P26" s="14" t="s">
        <v>14</v>
      </c>
      <c r="Q26" s="14">
        <v>0</v>
      </c>
    </row>
    <row r="27" spans="1:17" ht="15" customHeight="1">
      <c r="E27" s="191"/>
      <c r="F27" s="91" t="str">
        <f t="shared" si="0"/>
        <v>cc24-SoftEvent[17]</v>
      </c>
      <c r="G27" s="11" t="s">
        <v>11</v>
      </c>
      <c r="H27" s="4" t="str">
        <f t="shared" ref="H27:H33" si="5">P27&amp;($C$7+6)&amp;"."&amp;Q27</f>
        <v>%Q106.1</v>
      </c>
      <c r="M27" s="192"/>
      <c r="O27" s="14" t="s">
        <v>60</v>
      </c>
      <c r="P27" s="14" t="s">
        <v>14</v>
      </c>
      <c r="Q27" s="14">
        <v>1</v>
      </c>
    </row>
    <row r="28" spans="1:17" ht="15" customHeight="1">
      <c r="E28" s="191"/>
      <c r="F28" s="91" t="str">
        <f t="shared" si="0"/>
        <v>cc24-SoftEvent[18]</v>
      </c>
      <c r="G28" s="11" t="s">
        <v>11</v>
      </c>
      <c r="H28" s="4" t="str">
        <f t="shared" si="5"/>
        <v>%Q106.2</v>
      </c>
      <c r="M28" s="192"/>
      <c r="O28" s="14" t="s">
        <v>61</v>
      </c>
      <c r="P28" s="14" t="s">
        <v>14</v>
      </c>
      <c r="Q28" s="14">
        <v>2</v>
      </c>
    </row>
    <row r="29" spans="1:17" ht="15" customHeight="1">
      <c r="B29" s="14"/>
      <c r="C29" s="14"/>
      <c r="E29" s="191"/>
      <c r="F29" s="91" t="str">
        <f t="shared" si="0"/>
        <v>cc24-SoftEvent[10]</v>
      </c>
      <c r="G29" s="11" t="s">
        <v>11</v>
      </c>
      <c r="H29" s="4" t="str">
        <f t="shared" si="5"/>
        <v>%Q106.3</v>
      </c>
      <c r="M29" s="192"/>
      <c r="O29" s="14" t="s">
        <v>46</v>
      </c>
      <c r="P29" s="14" t="s">
        <v>14</v>
      </c>
      <c r="Q29" s="14">
        <v>3</v>
      </c>
    </row>
    <row r="30" spans="1:17" ht="15" customHeight="1">
      <c r="B30" s="14"/>
      <c r="C30" s="14"/>
      <c r="E30" s="191"/>
      <c r="F30" s="91" t="str">
        <f t="shared" si="0"/>
        <v>cc24-SoftEvent[20]</v>
      </c>
      <c r="G30" s="11" t="s">
        <v>11</v>
      </c>
      <c r="H30" s="4" t="str">
        <f t="shared" si="5"/>
        <v>%Q106.4</v>
      </c>
      <c r="M30" s="192"/>
      <c r="O30" s="14" t="s">
        <v>65</v>
      </c>
      <c r="P30" s="14" t="s">
        <v>14</v>
      </c>
      <c r="Q30" s="14">
        <v>4</v>
      </c>
    </row>
    <row r="31" spans="1:17" ht="15" customHeight="1">
      <c r="B31" s="14"/>
      <c r="C31" s="14"/>
      <c r="E31" s="191"/>
      <c r="F31" s="91" t="str">
        <f t="shared" si="0"/>
        <v>cc24-SoftEvent[21]</v>
      </c>
      <c r="G31" s="11" t="s">
        <v>11</v>
      </c>
      <c r="H31" s="4" t="str">
        <f t="shared" si="5"/>
        <v>%Q106.5</v>
      </c>
      <c r="M31" s="192"/>
      <c r="O31" s="14" t="s">
        <v>66</v>
      </c>
      <c r="P31" s="14" t="s">
        <v>14</v>
      </c>
      <c r="Q31" s="14">
        <v>5</v>
      </c>
    </row>
    <row r="32" spans="1:17" ht="15" customHeight="1">
      <c r="B32" s="14"/>
      <c r="C32" s="14"/>
      <c r="E32" s="191"/>
      <c r="F32" s="91" t="str">
        <f t="shared" si="0"/>
        <v>cc24-SoftEvent[22]</v>
      </c>
      <c r="G32" s="11" t="s">
        <v>11</v>
      </c>
      <c r="H32" s="4" t="str">
        <f t="shared" si="5"/>
        <v>%Q106.6</v>
      </c>
      <c r="M32" s="192"/>
      <c r="O32" s="14" t="s">
        <v>68</v>
      </c>
      <c r="P32" s="14" t="s">
        <v>14</v>
      </c>
      <c r="Q32" s="14">
        <v>6</v>
      </c>
    </row>
    <row r="33" spans="2:17" ht="15" customHeight="1">
      <c r="B33" s="14"/>
      <c r="C33" s="14"/>
      <c r="E33" s="191"/>
      <c r="F33" s="96" t="str">
        <f t="shared" si="0"/>
        <v>cc24-SoftEvent[23]</v>
      </c>
      <c r="G33" s="12" t="s">
        <v>11</v>
      </c>
      <c r="H33" s="20" t="str">
        <f t="shared" si="5"/>
        <v>%Q106.7</v>
      </c>
      <c r="M33" s="192"/>
      <c r="O33" s="14" t="s">
        <v>69</v>
      </c>
      <c r="P33" s="14" t="s">
        <v>14</v>
      </c>
      <c r="Q33" s="14">
        <v>7</v>
      </c>
    </row>
    <row r="34" spans="2:17" ht="15" customHeight="1">
      <c r="B34" s="14"/>
      <c r="C34" s="14"/>
      <c r="E34" s="191" t="str">
        <f t="shared" si="2"/>
        <v>System Control (Byte 7)</v>
      </c>
      <c r="F34" s="90" t="str">
        <f t="shared" si="0"/>
        <v>cc24-SoftEvent[24]</v>
      </c>
      <c r="G34" s="10" t="s">
        <v>11</v>
      </c>
      <c r="H34" s="25" t="str">
        <f>P34&amp;($C$7+7)&amp;"."&amp;Q34</f>
        <v>%Q107.0</v>
      </c>
      <c r="M34" s="192"/>
      <c r="N34" s="14" t="s">
        <v>379</v>
      </c>
      <c r="O34" s="14" t="s">
        <v>70</v>
      </c>
      <c r="P34" s="14" t="s">
        <v>14</v>
      </c>
      <c r="Q34" s="14">
        <v>0</v>
      </c>
    </row>
    <row r="35" spans="2:17" ht="15" customHeight="1">
      <c r="B35" s="14"/>
      <c r="C35" s="14"/>
      <c r="E35" s="191"/>
      <c r="F35" s="91" t="str">
        <f t="shared" si="0"/>
        <v>cc24-SoftEvent[25]</v>
      </c>
      <c r="G35" s="11" t="s">
        <v>11</v>
      </c>
      <c r="H35" s="4" t="str">
        <f t="shared" ref="H35:H41" si="6">P35&amp;($C$7+7)&amp;"."&amp;Q35</f>
        <v>%Q107.1</v>
      </c>
      <c r="M35" s="192"/>
      <c r="O35" s="14" t="s">
        <v>72</v>
      </c>
      <c r="P35" s="14" t="s">
        <v>14</v>
      </c>
      <c r="Q35" s="14">
        <v>1</v>
      </c>
    </row>
    <row r="36" spans="2:17" ht="15" customHeight="1">
      <c r="B36" s="14"/>
      <c r="C36" s="14"/>
      <c r="E36" s="191"/>
      <c r="F36" s="91" t="str">
        <f t="shared" si="0"/>
        <v>cc24-SoftEvent[26]</v>
      </c>
      <c r="G36" s="11" t="s">
        <v>11</v>
      </c>
      <c r="H36" s="4" t="str">
        <f t="shared" si="6"/>
        <v>%Q107.2</v>
      </c>
      <c r="M36" s="192"/>
      <c r="O36" s="14" t="s">
        <v>73</v>
      </c>
      <c r="P36" s="14" t="s">
        <v>14</v>
      </c>
      <c r="Q36" s="14">
        <v>2</v>
      </c>
    </row>
    <row r="37" spans="2:17" ht="15" customHeight="1">
      <c r="B37" s="14"/>
      <c r="C37" s="14"/>
      <c r="E37" s="191"/>
      <c r="F37" s="91" t="str">
        <f t="shared" si="0"/>
        <v>cc24-SoftEvent[27]</v>
      </c>
      <c r="G37" s="11" t="s">
        <v>11</v>
      </c>
      <c r="H37" s="4" t="str">
        <f t="shared" si="6"/>
        <v>%Q107.3</v>
      </c>
      <c r="M37" s="192"/>
      <c r="O37" s="14" t="s">
        <v>74</v>
      </c>
      <c r="P37" s="14" t="s">
        <v>14</v>
      </c>
      <c r="Q37" s="14">
        <v>3</v>
      </c>
    </row>
    <row r="38" spans="2:17" ht="15" customHeight="1">
      <c r="B38" s="14"/>
      <c r="C38" s="14"/>
      <c r="E38" s="191"/>
      <c r="F38" s="91" t="str">
        <f t="shared" si="0"/>
        <v>cc24-SoftEvent[28]</v>
      </c>
      <c r="G38" s="11" t="s">
        <v>11</v>
      </c>
      <c r="H38" s="4" t="str">
        <f t="shared" si="6"/>
        <v>%Q107.4</v>
      </c>
      <c r="M38" s="192"/>
      <c r="O38" s="14" t="s">
        <v>75</v>
      </c>
      <c r="P38" s="14" t="s">
        <v>14</v>
      </c>
      <c r="Q38" s="14">
        <v>4</v>
      </c>
    </row>
    <row r="39" spans="2:17" ht="15" customHeight="1">
      <c r="B39" s="14"/>
      <c r="C39" s="14"/>
      <c r="E39" s="191"/>
      <c r="F39" s="91" t="str">
        <f t="shared" si="0"/>
        <v>cc24-SoftEvent[29]</v>
      </c>
      <c r="G39" s="11" t="s">
        <v>11</v>
      </c>
      <c r="H39" s="4" t="str">
        <f t="shared" si="6"/>
        <v>%Q107.5</v>
      </c>
      <c r="M39" s="192"/>
      <c r="O39" s="14" t="s">
        <v>76</v>
      </c>
      <c r="P39" s="14" t="s">
        <v>14</v>
      </c>
      <c r="Q39" s="14">
        <v>5</v>
      </c>
    </row>
    <row r="40" spans="2:17" ht="15" customHeight="1">
      <c r="B40" s="14"/>
      <c r="C40" s="14"/>
      <c r="E40" s="191"/>
      <c r="F40" s="91" t="str">
        <f t="shared" si="0"/>
        <v>cc24-SoftEvent[30]</v>
      </c>
      <c r="G40" s="11" t="s">
        <v>11</v>
      </c>
      <c r="H40" s="4" t="str">
        <f t="shared" si="6"/>
        <v>%Q107.6</v>
      </c>
      <c r="M40" s="192"/>
      <c r="O40" s="14" t="s">
        <v>77</v>
      </c>
      <c r="P40" s="14" t="s">
        <v>14</v>
      </c>
      <c r="Q40" s="14">
        <v>6</v>
      </c>
    </row>
    <row r="41" spans="2:17" ht="15" customHeight="1">
      <c r="B41" s="14"/>
      <c r="C41" s="14"/>
      <c r="E41" s="191"/>
      <c r="F41" s="96" t="str">
        <f t="shared" si="0"/>
        <v>cc24-SoftEvent[31]</v>
      </c>
      <c r="G41" s="12" t="s">
        <v>11</v>
      </c>
      <c r="H41" s="20" t="str">
        <f t="shared" si="6"/>
        <v>%Q107.7</v>
      </c>
      <c r="M41" s="192"/>
      <c r="O41" s="14" t="s">
        <v>78</v>
      </c>
      <c r="P41" s="14" t="s">
        <v>14</v>
      </c>
      <c r="Q41" s="14">
        <v>7</v>
      </c>
    </row>
    <row r="42" spans="2:17" ht="15" customHeight="1">
      <c r="B42" s="14"/>
      <c r="C42" s="14"/>
      <c r="E42" s="35"/>
      <c r="F42" s="97"/>
      <c r="G42" s="27"/>
      <c r="H42" s="28"/>
      <c r="M42" s="192"/>
    </row>
    <row r="43" spans="2:17" ht="15" customHeight="1">
      <c r="B43" s="14"/>
      <c r="C43" s="14"/>
      <c r="E43" s="191" t="str">
        <f t="shared" si="2"/>
        <v>System Status (Byte 0)</v>
      </c>
      <c r="F43" s="90" t="str">
        <f t="shared" ref="F43:F84" si="7">$B$2&amp;"-"&amp;O43</f>
        <v>cc24-SystemReady</v>
      </c>
      <c r="G43" s="10" t="s">
        <v>11</v>
      </c>
      <c r="H43" s="25" t="str">
        <f>P43&amp;$B$7&amp;"."&amp;Q43</f>
        <v>%I100.0</v>
      </c>
      <c r="M43" s="192"/>
      <c r="N43" s="14" t="s">
        <v>380</v>
      </c>
      <c r="O43" s="14" t="s">
        <v>202</v>
      </c>
      <c r="P43" s="14" t="s">
        <v>80</v>
      </c>
      <c r="Q43" s="14">
        <v>0</v>
      </c>
    </row>
    <row r="44" spans="2:17" ht="15" customHeight="1">
      <c r="B44" s="14"/>
      <c r="C44" s="14"/>
      <c r="E44" s="191"/>
      <c r="F44" s="91" t="str">
        <f t="shared" si="7"/>
        <v>cc24-SystemBusy</v>
      </c>
      <c r="G44" s="11" t="s">
        <v>11</v>
      </c>
      <c r="H44" s="4" t="str">
        <f t="shared" ref="H44:H48" si="8">P44&amp;$B$7&amp;"."&amp;Q44</f>
        <v>%I100.1</v>
      </c>
      <c r="M44" s="192"/>
      <c r="O44" s="14" t="s">
        <v>282</v>
      </c>
      <c r="P44" s="14" t="s">
        <v>80</v>
      </c>
      <c r="Q44" s="14">
        <v>1</v>
      </c>
    </row>
    <row r="45" spans="2:17" ht="15" customHeight="1">
      <c r="B45" s="14"/>
      <c r="C45" s="14"/>
      <c r="E45" s="191"/>
      <c r="F45" s="91" t="str">
        <f t="shared" si="7"/>
        <v>cc24-OfflineReasonBit0</v>
      </c>
      <c r="G45" s="11" t="s">
        <v>11</v>
      </c>
      <c r="H45" s="4" t="str">
        <f t="shared" si="8"/>
        <v>%I100.4</v>
      </c>
      <c r="M45" s="192"/>
      <c r="O45" s="14" t="s">
        <v>381</v>
      </c>
      <c r="P45" s="14" t="s">
        <v>80</v>
      </c>
      <c r="Q45" s="14">
        <v>4</v>
      </c>
    </row>
    <row r="46" spans="2:17" ht="15" customHeight="1">
      <c r="B46" s="14"/>
      <c r="C46" s="14"/>
      <c r="E46" s="191"/>
      <c r="F46" s="91" t="str">
        <f t="shared" si="7"/>
        <v>cc24-OfflineReasonBit1</v>
      </c>
      <c r="G46" s="11" t="s">
        <v>11</v>
      </c>
      <c r="H46" s="4" t="str">
        <f t="shared" si="8"/>
        <v>%I100.5</v>
      </c>
      <c r="M46" s="192"/>
      <c r="O46" s="14" t="s">
        <v>382</v>
      </c>
      <c r="P46" s="14" t="s">
        <v>80</v>
      </c>
      <c r="Q46" s="14">
        <v>5</v>
      </c>
    </row>
    <row r="47" spans="2:17" ht="15" customHeight="1">
      <c r="B47" s="14"/>
      <c r="C47" s="14"/>
      <c r="E47" s="191"/>
      <c r="F47" s="91" t="str">
        <f t="shared" si="7"/>
        <v>cc24-OfflineReasonBit2</v>
      </c>
      <c r="G47" s="11" t="s">
        <v>11</v>
      </c>
      <c r="H47" s="4" t="str">
        <f t="shared" si="8"/>
        <v>%I100.6</v>
      </c>
      <c r="M47" s="192"/>
      <c r="O47" s="14" t="s">
        <v>383</v>
      </c>
      <c r="P47" s="14" t="s">
        <v>80</v>
      </c>
      <c r="Q47" s="14">
        <v>6</v>
      </c>
    </row>
    <row r="48" spans="2:17" ht="15" customHeight="1">
      <c r="B48" s="14"/>
      <c r="C48" s="14"/>
      <c r="E48" s="191"/>
      <c r="F48" s="96" t="str">
        <f t="shared" si="7"/>
        <v>cc24-Online</v>
      </c>
      <c r="G48" s="12" t="s">
        <v>11</v>
      </c>
      <c r="H48" s="20" t="str">
        <f t="shared" si="8"/>
        <v>%I100.7</v>
      </c>
      <c r="M48" s="192"/>
      <c r="O48" s="14" t="s">
        <v>161</v>
      </c>
      <c r="P48" s="14" t="s">
        <v>80</v>
      </c>
      <c r="Q48" s="14">
        <v>7</v>
      </c>
    </row>
    <row r="49" spans="2:17" ht="15" customHeight="1">
      <c r="B49" s="14"/>
      <c r="C49" s="14"/>
      <c r="E49" s="191" t="str">
        <f t="shared" si="2"/>
        <v>System Status (Byte 1)</v>
      </c>
      <c r="F49" s="90" t="str">
        <f t="shared" si="7"/>
        <v>cc24-JobLoadComplete</v>
      </c>
      <c r="G49" s="10" t="s">
        <v>11</v>
      </c>
      <c r="H49" s="25" t="str">
        <f>P49&amp;($B$7+1)&amp;"."&amp;Q49</f>
        <v>%I101.5</v>
      </c>
      <c r="M49" s="192"/>
      <c r="N49" s="14" t="s">
        <v>384</v>
      </c>
      <c r="O49" s="14" t="s">
        <v>385</v>
      </c>
      <c r="P49" s="14" t="s">
        <v>80</v>
      </c>
      <c r="Q49" s="14">
        <v>5</v>
      </c>
    </row>
    <row r="50" spans="2:17" ht="15" customHeight="1">
      <c r="B50" s="14"/>
      <c r="C50" s="14"/>
      <c r="E50" s="191"/>
      <c r="F50" s="96" t="str">
        <f t="shared" si="7"/>
        <v>cc24-GeneralFault</v>
      </c>
      <c r="G50" s="12" t="s">
        <v>11</v>
      </c>
      <c r="H50" s="20" t="str">
        <f t="shared" ref="H50" si="9">P50&amp;($B$7+1)&amp;"."&amp;Q50</f>
        <v>%I101.7</v>
      </c>
      <c r="M50" s="192"/>
      <c r="O50" s="14" t="s">
        <v>386</v>
      </c>
      <c r="P50" s="14" t="s">
        <v>80</v>
      </c>
      <c r="Q50" s="14">
        <v>7</v>
      </c>
    </row>
    <row r="51" spans="2:17" ht="15" customHeight="1">
      <c r="E51" s="35" t="str">
        <f t="shared" si="2"/>
        <v>System Status (Byte 4-5)</v>
      </c>
      <c r="F51" s="97" t="str">
        <f t="shared" si="7"/>
        <v>cc24-CurrentJobID</v>
      </c>
      <c r="G51" s="27" t="s">
        <v>363</v>
      </c>
      <c r="H51" s="28" t="str">
        <f>P51&amp;($B$7+4)</f>
        <v>%IW104</v>
      </c>
      <c r="M51" s="192"/>
      <c r="N51" s="14" t="s">
        <v>387</v>
      </c>
      <c r="O51" s="14" t="s">
        <v>388</v>
      </c>
      <c r="P51" s="14" t="s">
        <v>89</v>
      </c>
    </row>
    <row r="52" spans="2:17" ht="15" customHeight="1">
      <c r="E52" s="35" t="str">
        <f t="shared" si="2"/>
        <v>System Status (Byte 6-7)</v>
      </c>
      <c r="F52" s="97" t="str">
        <f t="shared" si="7"/>
        <v>cc24-ErrorID</v>
      </c>
      <c r="G52" s="27" t="s">
        <v>87</v>
      </c>
      <c r="H52" s="28" t="str">
        <f>P52&amp;($B$7+6)</f>
        <v>%IW106</v>
      </c>
      <c r="M52" s="192"/>
      <c r="N52" s="14" t="s">
        <v>389</v>
      </c>
      <c r="O52" s="14" t="s">
        <v>390</v>
      </c>
      <c r="P52" s="14" t="s">
        <v>89</v>
      </c>
    </row>
    <row r="53" spans="2:17" ht="15" customHeight="1">
      <c r="E53" s="191" t="str">
        <f t="shared" si="2"/>
        <v>System Status (Byte 8)</v>
      </c>
      <c r="F53" s="90" t="str">
        <f t="shared" si="7"/>
        <v>cc24-SoftEventAck[0]</v>
      </c>
      <c r="G53" s="10" t="s">
        <v>11</v>
      </c>
      <c r="H53" s="25" t="str">
        <f>P53&amp;($B$7+8)&amp;"."&amp;Q53</f>
        <v>%I108.0</v>
      </c>
      <c r="M53" s="192"/>
      <c r="N53" s="14" t="s">
        <v>391</v>
      </c>
      <c r="O53" s="14" t="s">
        <v>287</v>
      </c>
      <c r="P53" s="14" t="s">
        <v>80</v>
      </c>
      <c r="Q53" s="14">
        <v>0</v>
      </c>
    </row>
    <row r="54" spans="2:17" ht="15" customHeight="1">
      <c r="E54" s="191"/>
      <c r="F54" s="91" t="str">
        <f t="shared" si="7"/>
        <v>cc24-SoftEventAck[1]</v>
      </c>
      <c r="G54" s="11" t="s">
        <v>11</v>
      </c>
      <c r="H54" s="4" t="str">
        <f t="shared" ref="H54:H60" si="10">P54&amp;($B$7+8)&amp;"."&amp;Q54</f>
        <v>%I108.1</v>
      </c>
      <c r="M54" s="192"/>
      <c r="O54" s="14" t="s">
        <v>288</v>
      </c>
      <c r="P54" s="14" t="s">
        <v>80</v>
      </c>
      <c r="Q54" s="14">
        <v>1</v>
      </c>
    </row>
    <row r="55" spans="2:17" ht="15" customHeight="1">
      <c r="E55" s="191"/>
      <c r="F55" s="91" t="str">
        <f t="shared" si="7"/>
        <v>cc24-SoftEventAck[2]</v>
      </c>
      <c r="G55" s="11" t="s">
        <v>11</v>
      </c>
      <c r="H55" s="4" t="str">
        <f t="shared" si="10"/>
        <v>%I108.2</v>
      </c>
      <c r="M55" s="192"/>
      <c r="O55" s="14" t="s">
        <v>289</v>
      </c>
      <c r="P55" s="14" t="s">
        <v>80</v>
      </c>
      <c r="Q55" s="14">
        <v>2</v>
      </c>
    </row>
    <row r="56" spans="2:17" ht="15" customHeight="1">
      <c r="E56" s="191"/>
      <c r="F56" s="91" t="str">
        <f t="shared" si="7"/>
        <v>cc24-SoftEventAck[3]</v>
      </c>
      <c r="G56" s="11" t="s">
        <v>11</v>
      </c>
      <c r="H56" s="4" t="str">
        <f t="shared" si="10"/>
        <v>%I108.3</v>
      </c>
      <c r="M56" s="192"/>
      <c r="O56" s="14" t="s">
        <v>290</v>
      </c>
      <c r="P56" s="14" t="s">
        <v>80</v>
      </c>
      <c r="Q56" s="14">
        <v>3</v>
      </c>
    </row>
    <row r="57" spans="2:17" ht="15" customHeight="1">
      <c r="E57" s="191"/>
      <c r="F57" s="91" t="str">
        <f t="shared" si="7"/>
        <v>cc24-SoftEventAck[4]</v>
      </c>
      <c r="G57" s="11" t="s">
        <v>11</v>
      </c>
      <c r="H57" s="4" t="str">
        <f t="shared" si="10"/>
        <v>%I108.4</v>
      </c>
      <c r="M57" s="192"/>
      <c r="O57" s="14" t="s">
        <v>291</v>
      </c>
      <c r="P57" s="14" t="s">
        <v>80</v>
      </c>
      <c r="Q57" s="14">
        <v>4</v>
      </c>
    </row>
    <row r="58" spans="2:17" ht="15" customHeight="1">
      <c r="E58" s="191"/>
      <c r="F58" s="91" t="str">
        <f t="shared" si="7"/>
        <v>cc24-SoftEventAck[5]</v>
      </c>
      <c r="G58" s="11" t="s">
        <v>11</v>
      </c>
      <c r="H58" s="4" t="str">
        <f t="shared" si="10"/>
        <v>%I108.5</v>
      </c>
      <c r="M58" s="192"/>
      <c r="O58" s="14" t="s">
        <v>292</v>
      </c>
      <c r="P58" s="14" t="s">
        <v>80</v>
      </c>
      <c r="Q58" s="14">
        <v>5</v>
      </c>
    </row>
    <row r="59" spans="2:17" ht="15" customHeight="1">
      <c r="E59" s="191"/>
      <c r="F59" s="91" t="str">
        <f t="shared" si="7"/>
        <v>cc24-SoftEventAck[6]</v>
      </c>
      <c r="G59" s="11" t="s">
        <v>11</v>
      </c>
      <c r="H59" s="4" t="str">
        <f t="shared" si="10"/>
        <v>%I108.6</v>
      </c>
      <c r="M59" s="192"/>
      <c r="O59" s="14" t="s">
        <v>293</v>
      </c>
      <c r="P59" s="14" t="s">
        <v>80</v>
      </c>
      <c r="Q59" s="14">
        <v>6</v>
      </c>
    </row>
    <row r="60" spans="2:17" ht="15" customHeight="1">
      <c r="E60" s="191"/>
      <c r="F60" s="96" t="str">
        <f t="shared" si="7"/>
        <v>cc24-SoftEventAck[7]</v>
      </c>
      <c r="G60" s="12" t="s">
        <v>11</v>
      </c>
      <c r="H60" s="20" t="str">
        <f t="shared" si="10"/>
        <v>%I108.7</v>
      </c>
      <c r="M60" s="192"/>
      <c r="O60" s="14" t="s">
        <v>294</v>
      </c>
      <c r="P60" s="14" t="s">
        <v>80</v>
      </c>
      <c r="Q60" s="14">
        <v>7</v>
      </c>
    </row>
    <row r="61" spans="2:17" ht="15" customHeight="1">
      <c r="E61" s="191" t="str">
        <f t="shared" si="2"/>
        <v>System Status (Byte 9)</v>
      </c>
      <c r="F61" s="90" t="str">
        <f t="shared" si="7"/>
        <v>cc24-SoftEventAck[8]</v>
      </c>
      <c r="G61" s="10" t="s">
        <v>11</v>
      </c>
      <c r="H61" s="25" t="str">
        <f>P61&amp;($B$7+9)&amp;"."&amp;Q61</f>
        <v>%I109.0</v>
      </c>
      <c r="M61" s="192"/>
      <c r="N61" s="14" t="s">
        <v>392</v>
      </c>
      <c r="O61" s="14" t="s">
        <v>393</v>
      </c>
      <c r="P61" s="14" t="s">
        <v>80</v>
      </c>
      <c r="Q61" s="14">
        <v>0</v>
      </c>
    </row>
    <row r="62" spans="2:17" ht="15" customHeight="1">
      <c r="E62" s="191"/>
      <c r="F62" s="91" t="str">
        <f t="shared" si="7"/>
        <v>cc24-SoftEventAck[9]</v>
      </c>
      <c r="G62" s="11" t="s">
        <v>11</v>
      </c>
      <c r="H62" s="4" t="str">
        <f t="shared" ref="H62:H68" si="11">P62&amp;($B$7+9)&amp;"."&amp;Q62</f>
        <v>%I109.1</v>
      </c>
      <c r="M62" s="192"/>
      <c r="O62" s="14" t="s">
        <v>394</v>
      </c>
      <c r="P62" s="14" t="s">
        <v>80</v>
      </c>
      <c r="Q62" s="14">
        <v>1</v>
      </c>
    </row>
    <row r="63" spans="2:17" ht="15" customHeight="1">
      <c r="E63" s="191"/>
      <c r="F63" s="91" t="str">
        <f t="shared" si="7"/>
        <v>cc24-SoftEventAck[10]</v>
      </c>
      <c r="G63" s="11" t="s">
        <v>11</v>
      </c>
      <c r="H63" s="4" t="str">
        <f t="shared" si="11"/>
        <v>%I109.2</v>
      </c>
      <c r="M63" s="192"/>
      <c r="O63" s="14" t="s">
        <v>395</v>
      </c>
      <c r="P63" s="14" t="s">
        <v>80</v>
      </c>
      <c r="Q63" s="14">
        <v>2</v>
      </c>
    </row>
    <row r="64" spans="2:17" ht="15" customHeight="1">
      <c r="E64" s="191"/>
      <c r="F64" s="91" t="str">
        <f t="shared" si="7"/>
        <v>cc24-SoftEventAck[11]</v>
      </c>
      <c r="G64" s="11" t="s">
        <v>11</v>
      </c>
      <c r="H64" s="4" t="str">
        <f t="shared" si="11"/>
        <v>%I109.3</v>
      </c>
      <c r="M64" s="192"/>
      <c r="O64" s="14" t="s">
        <v>396</v>
      </c>
      <c r="P64" s="14" t="s">
        <v>80</v>
      </c>
      <c r="Q64" s="14">
        <v>3</v>
      </c>
    </row>
    <row r="65" spans="5:17" ht="15" customHeight="1">
      <c r="E65" s="191"/>
      <c r="F65" s="91" t="str">
        <f t="shared" si="7"/>
        <v>cc24-SoftEventAck[12]</v>
      </c>
      <c r="G65" s="11" t="s">
        <v>11</v>
      </c>
      <c r="H65" s="4" t="str">
        <f t="shared" si="11"/>
        <v>%I109.4</v>
      </c>
      <c r="M65" s="192"/>
      <c r="O65" s="14" t="s">
        <v>397</v>
      </c>
      <c r="P65" s="14" t="s">
        <v>80</v>
      </c>
      <c r="Q65" s="14">
        <v>4</v>
      </c>
    </row>
    <row r="66" spans="5:17" ht="15" customHeight="1">
      <c r="E66" s="191"/>
      <c r="F66" s="91" t="str">
        <f t="shared" si="7"/>
        <v>cc24-SoftEventAck[13]</v>
      </c>
      <c r="G66" s="11" t="s">
        <v>11</v>
      </c>
      <c r="H66" s="4" t="str">
        <f t="shared" si="11"/>
        <v>%I109.5</v>
      </c>
      <c r="M66" s="192"/>
      <c r="O66" s="14" t="s">
        <v>398</v>
      </c>
      <c r="P66" s="14" t="s">
        <v>80</v>
      </c>
      <c r="Q66" s="14">
        <v>5</v>
      </c>
    </row>
    <row r="67" spans="5:17" ht="15" customHeight="1">
      <c r="E67" s="191"/>
      <c r="F67" s="91" t="str">
        <f t="shared" si="7"/>
        <v>cc24-SoftEventAck[14]</v>
      </c>
      <c r="G67" s="11" t="s">
        <v>11</v>
      </c>
      <c r="H67" s="4" t="str">
        <f t="shared" si="11"/>
        <v>%I109.6</v>
      </c>
      <c r="M67" s="192"/>
      <c r="O67" s="14" t="s">
        <v>399</v>
      </c>
      <c r="P67" s="14" t="s">
        <v>80</v>
      </c>
      <c r="Q67" s="14">
        <v>6</v>
      </c>
    </row>
    <row r="68" spans="5:17" ht="15" customHeight="1">
      <c r="E68" s="191"/>
      <c r="F68" s="96" t="str">
        <f t="shared" si="7"/>
        <v>cc24-SoftEventAck[15]</v>
      </c>
      <c r="G68" s="12" t="s">
        <v>11</v>
      </c>
      <c r="H68" s="20" t="str">
        <f t="shared" si="11"/>
        <v>%I109.7</v>
      </c>
      <c r="M68" s="192"/>
      <c r="O68" s="14" t="s">
        <v>400</v>
      </c>
      <c r="P68" s="14" t="s">
        <v>80</v>
      </c>
      <c r="Q68" s="14">
        <v>7</v>
      </c>
    </row>
    <row r="69" spans="5:17" ht="15" customHeight="1">
      <c r="E69" s="191" t="str">
        <f t="shared" ref="E69:E127" si="12">N69</f>
        <v>System Status (Byte 10)</v>
      </c>
      <c r="F69" s="90" t="str">
        <f t="shared" si="7"/>
        <v>cc24-SoftEventAck[16]</v>
      </c>
      <c r="G69" s="10" t="s">
        <v>11</v>
      </c>
      <c r="H69" s="25" t="str">
        <f>P69&amp;($B$7+10)&amp;"."&amp;Q69</f>
        <v>%I110.0</v>
      </c>
      <c r="M69" s="192"/>
      <c r="N69" s="14" t="s">
        <v>401</v>
      </c>
      <c r="O69" s="14" t="s">
        <v>402</v>
      </c>
      <c r="P69" s="14" t="s">
        <v>80</v>
      </c>
      <c r="Q69" s="14">
        <v>0</v>
      </c>
    </row>
    <row r="70" spans="5:17" ht="15" customHeight="1">
      <c r="E70" s="191"/>
      <c r="F70" s="91" t="str">
        <f t="shared" si="7"/>
        <v>cc24-SoftEventAck[17]</v>
      </c>
      <c r="G70" s="11" t="s">
        <v>11</v>
      </c>
      <c r="H70" s="4" t="str">
        <f t="shared" ref="H70:H76" si="13">P70&amp;($B$7+10)&amp;"."&amp;Q70</f>
        <v>%I110.1</v>
      </c>
      <c r="M70" s="192"/>
      <c r="O70" s="14" t="s">
        <v>403</v>
      </c>
      <c r="P70" s="14" t="s">
        <v>80</v>
      </c>
      <c r="Q70" s="14">
        <v>1</v>
      </c>
    </row>
    <row r="71" spans="5:17" ht="15" customHeight="1">
      <c r="E71" s="191"/>
      <c r="F71" s="91" t="str">
        <f t="shared" si="7"/>
        <v>cc24-SoftEventAck[18]</v>
      </c>
      <c r="G71" s="11" t="s">
        <v>11</v>
      </c>
      <c r="H71" s="4" t="str">
        <f t="shared" si="13"/>
        <v>%I110.2</v>
      </c>
      <c r="M71" s="192"/>
      <c r="O71" s="14" t="s">
        <v>404</v>
      </c>
      <c r="P71" s="14" t="s">
        <v>80</v>
      </c>
      <c r="Q71" s="14">
        <v>2</v>
      </c>
    </row>
    <row r="72" spans="5:17" ht="15" customHeight="1">
      <c r="E72" s="191"/>
      <c r="F72" s="91" t="str">
        <f t="shared" si="7"/>
        <v>cc24-SoftEventAck[19]</v>
      </c>
      <c r="G72" s="11" t="s">
        <v>11</v>
      </c>
      <c r="H72" s="4" t="str">
        <f t="shared" si="13"/>
        <v>%I110.3</v>
      </c>
      <c r="M72" s="192"/>
      <c r="O72" s="14" t="s">
        <v>405</v>
      </c>
      <c r="P72" s="14" t="s">
        <v>80</v>
      </c>
      <c r="Q72" s="14">
        <v>3</v>
      </c>
    </row>
    <row r="73" spans="5:17" ht="15" customHeight="1">
      <c r="E73" s="191"/>
      <c r="F73" s="91" t="str">
        <f t="shared" si="7"/>
        <v>cc24-SoftEventAck[20]</v>
      </c>
      <c r="G73" s="11" t="s">
        <v>11</v>
      </c>
      <c r="H73" s="4" t="str">
        <f t="shared" si="13"/>
        <v>%I110.4</v>
      </c>
      <c r="M73" s="192"/>
      <c r="O73" s="14" t="s">
        <v>406</v>
      </c>
      <c r="P73" s="14" t="s">
        <v>80</v>
      </c>
      <c r="Q73" s="14">
        <v>4</v>
      </c>
    </row>
    <row r="74" spans="5:17" ht="15" customHeight="1">
      <c r="E74" s="191"/>
      <c r="F74" s="91" t="str">
        <f t="shared" si="7"/>
        <v>cc24-SoftEventAck[21]</v>
      </c>
      <c r="G74" s="11" t="s">
        <v>11</v>
      </c>
      <c r="H74" s="4" t="str">
        <f t="shared" si="13"/>
        <v>%I110.5</v>
      </c>
      <c r="M74" s="192"/>
      <c r="O74" s="14" t="s">
        <v>407</v>
      </c>
      <c r="P74" s="14" t="s">
        <v>80</v>
      </c>
      <c r="Q74" s="14">
        <v>5</v>
      </c>
    </row>
    <row r="75" spans="5:17" ht="15" customHeight="1">
      <c r="E75" s="191"/>
      <c r="F75" s="91" t="str">
        <f t="shared" si="7"/>
        <v>cc24-SoftEventAck[22]</v>
      </c>
      <c r="G75" s="11" t="s">
        <v>11</v>
      </c>
      <c r="H75" s="4" t="str">
        <f t="shared" si="13"/>
        <v>%I110.6</v>
      </c>
      <c r="M75" s="192"/>
      <c r="O75" s="14" t="s">
        <v>408</v>
      </c>
      <c r="P75" s="14" t="s">
        <v>80</v>
      </c>
      <c r="Q75" s="14">
        <v>6</v>
      </c>
    </row>
    <row r="76" spans="5:17" ht="15" customHeight="1">
      <c r="E76" s="191"/>
      <c r="F76" s="96" t="str">
        <f t="shared" si="7"/>
        <v>cc24-SoftEventAck[23]</v>
      </c>
      <c r="G76" s="12" t="s">
        <v>11</v>
      </c>
      <c r="H76" s="20" t="str">
        <f t="shared" si="13"/>
        <v>%I110.7</v>
      </c>
      <c r="M76" s="192"/>
      <c r="O76" s="14" t="s">
        <v>409</v>
      </c>
      <c r="P76" s="14" t="s">
        <v>80</v>
      </c>
      <c r="Q76" s="14">
        <v>7</v>
      </c>
    </row>
    <row r="77" spans="5:17" ht="15" customHeight="1">
      <c r="E77" s="191" t="str">
        <f t="shared" si="12"/>
        <v>System Status (Byte 11)</v>
      </c>
      <c r="F77" s="90" t="str">
        <f t="shared" si="7"/>
        <v>cc24-SoftEventAck[24]</v>
      </c>
      <c r="G77" s="10" t="s">
        <v>11</v>
      </c>
      <c r="H77" s="25" t="str">
        <f>P77&amp;($B$7+11)&amp;"."&amp;Q77</f>
        <v>%I111.0</v>
      </c>
      <c r="M77" s="192"/>
      <c r="N77" s="14" t="s">
        <v>410</v>
      </c>
      <c r="O77" s="14" t="s">
        <v>411</v>
      </c>
      <c r="P77" s="14" t="s">
        <v>80</v>
      </c>
      <c r="Q77" s="14">
        <v>0</v>
      </c>
    </row>
    <row r="78" spans="5:17" ht="15" customHeight="1">
      <c r="E78" s="191"/>
      <c r="F78" s="91" t="str">
        <f t="shared" si="7"/>
        <v>cc24-SoftEventAck[25]</v>
      </c>
      <c r="G78" s="11" t="s">
        <v>11</v>
      </c>
      <c r="H78" s="4" t="str">
        <f t="shared" ref="H78:H84" si="14">P78&amp;($B$7+11)&amp;"."&amp;Q78</f>
        <v>%I111.1</v>
      </c>
      <c r="M78" s="192"/>
      <c r="O78" s="14" t="s">
        <v>412</v>
      </c>
      <c r="P78" s="14" t="s">
        <v>80</v>
      </c>
      <c r="Q78" s="14">
        <v>1</v>
      </c>
    </row>
    <row r="79" spans="5:17" ht="15" customHeight="1">
      <c r="E79" s="191"/>
      <c r="F79" s="91" t="str">
        <f t="shared" si="7"/>
        <v>cc24-SoftEventAck[26]</v>
      </c>
      <c r="G79" s="11" t="s">
        <v>11</v>
      </c>
      <c r="H79" s="4" t="str">
        <f t="shared" si="14"/>
        <v>%I111.2</v>
      </c>
      <c r="M79" s="192"/>
      <c r="O79" s="14" t="s">
        <v>413</v>
      </c>
      <c r="P79" s="14" t="s">
        <v>80</v>
      </c>
      <c r="Q79" s="14">
        <v>2</v>
      </c>
    </row>
    <row r="80" spans="5:17" ht="15" customHeight="1">
      <c r="E80" s="191"/>
      <c r="F80" s="91" t="str">
        <f t="shared" si="7"/>
        <v>cc24-SoftEventAck[27]</v>
      </c>
      <c r="G80" s="11" t="s">
        <v>11</v>
      </c>
      <c r="H80" s="4" t="str">
        <f t="shared" si="14"/>
        <v>%I111.3</v>
      </c>
      <c r="M80" s="192"/>
      <c r="O80" s="14" t="s">
        <v>414</v>
      </c>
      <c r="P80" s="14" t="s">
        <v>80</v>
      </c>
      <c r="Q80" s="14">
        <v>3</v>
      </c>
    </row>
    <row r="81" spans="5:17" ht="15" customHeight="1">
      <c r="E81" s="191"/>
      <c r="F81" s="91" t="str">
        <f t="shared" si="7"/>
        <v>cc24-SoftEventAck[28]</v>
      </c>
      <c r="G81" s="11" t="s">
        <v>11</v>
      </c>
      <c r="H81" s="4" t="str">
        <f t="shared" si="14"/>
        <v>%I111.4</v>
      </c>
      <c r="M81" s="192"/>
      <c r="O81" s="14" t="s">
        <v>415</v>
      </c>
      <c r="P81" s="14" t="s">
        <v>80</v>
      </c>
      <c r="Q81" s="14">
        <v>4</v>
      </c>
    </row>
    <row r="82" spans="5:17" ht="15" customHeight="1">
      <c r="E82" s="191"/>
      <c r="F82" s="91" t="str">
        <f t="shared" si="7"/>
        <v>cc24-SoftEventAck[29]</v>
      </c>
      <c r="G82" s="11" t="s">
        <v>11</v>
      </c>
      <c r="H82" s="4" t="str">
        <f t="shared" si="14"/>
        <v>%I111.5</v>
      </c>
      <c r="M82" s="192"/>
      <c r="O82" s="14" t="s">
        <v>416</v>
      </c>
      <c r="P82" s="14" t="s">
        <v>80</v>
      </c>
      <c r="Q82" s="14">
        <v>5</v>
      </c>
    </row>
    <row r="83" spans="5:17" ht="15" customHeight="1">
      <c r="E83" s="191"/>
      <c r="F83" s="91" t="str">
        <f t="shared" si="7"/>
        <v>cc24-SoftEventAck[30]</v>
      </c>
      <c r="G83" s="11" t="s">
        <v>11</v>
      </c>
      <c r="H83" s="4" t="str">
        <f t="shared" si="14"/>
        <v>%I111.6</v>
      </c>
      <c r="M83" s="192"/>
      <c r="O83" s="14" t="s">
        <v>417</v>
      </c>
      <c r="P83" s="14" t="s">
        <v>80</v>
      </c>
      <c r="Q83" s="14">
        <v>6</v>
      </c>
    </row>
    <row r="84" spans="5:17" ht="15" customHeight="1">
      <c r="E84" s="191"/>
      <c r="F84" s="96" t="str">
        <f t="shared" si="7"/>
        <v>cc24-SoftEventAck[31]</v>
      </c>
      <c r="G84" s="12" t="s">
        <v>11</v>
      </c>
      <c r="H84" s="20" t="str">
        <f t="shared" si="14"/>
        <v>%I111.7</v>
      </c>
      <c r="M84" s="192"/>
      <c r="O84" s="14" t="s">
        <v>418</v>
      </c>
      <c r="P84" s="14" t="s">
        <v>80</v>
      </c>
      <c r="Q84" s="14">
        <v>7</v>
      </c>
    </row>
    <row r="85" spans="5:17" ht="15" customHeight="1">
      <c r="E85" s="35"/>
      <c r="F85" s="97"/>
      <c r="G85" s="27"/>
      <c r="H85" s="28"/>
      <c r="M85" s="192"/>
    </row>
    <row r="86" spans="5:17" ht="15" customHeight="1">
      <c r="E86" s="191" t="str">
        <f t="shared" si="12"/>
        <v>Engine Control 0</v>
      </c>
      <c r="F86" s="90" t="str">
        <f>$B$2&amp;"-"&amp;O86</f>
        <v>cc24-Trigger[0]</v>
      </c>
      <c r="G86" s="10" t="s">
        <v>11</v>
      </c>
      <c r="H86" s="25" t="str">
        <f>P86&amp;$C$8&amp;"."&amp;Q86</f>
        <v>%Q116.0</v>
      </c>
      <c r="M86" s="192"/>
      <c r="N86" s="14" t="s">
        <v>419</v>
      </c>
      <c r="O86" s="14" t="s">
        <v>420</v>
      </c>
      <c r="P86" s="14" t="s">
        <v>14</v>
      </c>
      <c r="Q86" s="14">
        <v>0</v>
      </c>
    </row>
    <row r="87" spans="5:17" ht="15" customHeight="1">
      <c r="E87" s="191"/>
      <c r="F87" s="91" t="str">
        <f>$B$2&amp;"-"&amp;O87</f>
        <v>cc24-InspectionResultsAck[0]</v>
      </c>
      <c r="G87" s="11" t="s">
        <v>11</v>
      </c>
      <c r="H87" s="4" t="str">
        <f t="shared" ref="H87:H89" si="15">P87&amp;$C$8&amp;"."&amp;Q87</f>
        <v>%Q116.1</v>
      </c>
      <c r="M87" s="192"/>
      <c r="O87" s="14" t="s">
        <v>421</v>
      </c>
      <c r="P87" s="14" t="s">
        <v>14</v>
      </c>
      <c r="Q87" s="14">
        <v>1</v>
      </c>
    </row>
    <row r="88" spans="5:17" ht="15" customHeight="1">
      <c r="E88" s="191"/>
      <c r="F88" s="91" t="str">
        <f>$B$2&amp;"-"&amp;O88</f>
        <v>cc24-ClearExposureComplete[0]</v>
      </c>
      <c r="G88" s="11" t="s">
        <v>11</v>
      </c>
      <c r="H88" s="4" t="str">
        <f t="shared" si="15"/>
        <v>%Q116.2</v>
      </c>
      <c r="M88" s="192"/>
      <c r="O88" s="14" t="s">
        <v>422</v>
      </c>
      <c r="P88" s="14" t="s">
        <v>14</v>
      </c>
      <c r="Q88" s="14">
        <v>2</v>
      </c>
    </row>
    <row r="89" spans="5:17" ht="15" customHeight="1">
      <c r="E89" s="191"/>
      <c r="F89" s="96" t="str">
        <f>$B$2&amp;"-"&amp;O89</f>
        <v>cc24-SetUserData[0]</v>
      </c>
      <c r="G89" s="12" t="s">
        <v>11</v>
      </c>
      <c r="H89" s="20" t="str">
        <f t="shared" si="15"/>
        <v>%Q116.3</v>
      </c>
      <c r="M89" s="192"/>
      <c r="O89" s="14" t="s">
        <v>423</v>
      </c>
      <c r="P89" s="14" t="s">
        <v>14</v>
      </c>
      <c r="Q89" s="14">
        <v>3</v>
      </c>
    </row>
    <row r="90" spans="5:17" ht="15" customHeight="1">
      <c r="E90" s="35"/>
      <c r="F90" s="97"/>
      <c r="G90" s="27"/>
      <c r="H90" s="28"/>
      <c r="M90" s="192"/>
    </row>
    <row r="91" spans="5:17" ht="15" customHeight="1">
      <c r="E91" s="191" t="str">
        <f t="shared" si="12"/>
        <v>Engine Status 0 (Byte 0)</v>
      </c>
      <c r="F91" s="90" t="str">
        <f t="shared" ref="F91:F102" si="16">$B$2&amp;"-"&amp;O91</f>
        <v>cc24-TriggerReady[0]</v>
      </c>
      <c r="G91" s="10" t="s">
        <v>11</v>
      </c>
      <c r="H91" s="25" t="str">
        <f>P91&amp;$B$8&amp;"."&amp;Q91</f>
        <v>%I116.0</v>
      </c>
      <c r="M91" s="192"/>
      <c r="N91" s="14" t="s">
        <v>424</v>
      </c>
      <c r="O91" s="14" t="s">
        <v>425</v>
      </c>
      <c r="P91" s="14" t="s">
        <v>80</v>
      </c>
      <c r="Q91" s="14">
        <v>0</v>
      </c>
    </row>
    <row r="92" spans="5:17" ht="15" customHeight="1">
      <c r="E92" s="191"/>
      <c r="F92" s="91" t="str">
        <f t="shared" si="16"/>
        <v>cc24-TriggerAck[0]</v>
      </c>
      <c r="G92" s="11" t="s">
        <v>11</v>
      </c>
      <c r="H92" s="4" t="str">
        <f t="shared" ref="H92:H98" si="17">P92&amp;$B$8&amp;"."&amp;Q92</f>
        <v>%I116.1</v>
      </c>
      <c r="M92" s="192"/>
      <c r="O92" s="14" t="s">
        <v>426</v>
      </c>
      <c r="P92" s="14" t="s">
        <v>80</v>
      </c>
      <c r="Q92" s="14">
        <v>1</v>
      </c>
    </row>
    <row r="93" spans="5:17" ht="15" customHeight="1">
      <c r="E93" s="191"/>
      <c r="F93" s="91" t="str">
        <f t="shared" si="16"/>
        <v>cc24-AcqError[0]</v>
      </c>
      <c r="G93" s="11" t="s">
        <v>11</v>
      </c>
      <c r="H93" s="4" t="str">
        <f t="shared" si="17"/>
        <v>%I116.2</v>
      </c>
      <c r="M93" s="192"/>
      <c r="O93" s="14" t="s">
        <v>427</v>
      </c>
      <c r="P93" s="14" t="s">
        <v>80</v>
      </c>
      <c r="Q93" s="14">
        <v>2</v>
      </c>
    </row>
    <row r="94" spans="5:17" ht="15" customHeight="1">
      <c r="E94" s="191"/>
      <c r="F94" s="91" t="str">
        <f t="shared" si="16"/>
        <v>cc24-ExposureComplete[0]</v>
      </c>
      <c r="G94" s="11" t="s">
        <v>11</v>
      </c>
      <c r="H94" s="4" t="str">
        <f t="shared" si="17"/>
        <v>%I116.3</v>
      </c>
      <c r="M94" s="192"/>
      <c r="O94" s="14" t="s">
        <v>428</v>
      </c>
      <c r="P94" s="14" t="s">
        <v>80</v>
      </c>
      <c r="Q94" s="14">
        <v>3</v>
      </c>
    </row>
    <row r="95" spans="5:17" ht="15" customHeight="1">
      <c r="E95" s="191"/>
      <c r="F95" s="91" t="str">
        <f t="shared" si="16"/>
        <v>cc24-InspectionCompleted[0]</v>
      </c>
      <c r="G95" s="11" t="s">
        <v>11</v>
      </c>
      <c r="H95" s="4" t="str">
        <f t="shared" si="17"/>
        <v>%I116.4</v>
      </c>
      <c r="M95" s="192"/>
      <c r="O95" s="14" t="s">
        <v>429</v>
      </c>
      <c r="P95" s="14" t="s">
        <v>80</v>
      </c>
      <c r="Q95" s="14">
        <v>4</v>
      </c>
    </row>
    <row r="96" spans="5:17" ht="15" customHeight="1">
      <c r="E96" s="191"/>
      <c r="F96" s="91" t="str">
        <f t="shared" si="16"/>
        <v>cc24-ResultsValid[0]</v>
      </c>
      <c r="G96" s="11" t="s">
        <v>11</v>
      </c>
      <c r="H96" s="4" t="str">
        <f t="shared" si="17"/>
        <v>%I116.5</v>
      </c>
      <c r="M96" s="192"/>
      <c r="O96" s="14" t="s">
        <v>430</v>
      </c>
      <c r="P96" s="14" t="s">
        <v>80</v>
      </c>
      <c r="Q96" s="14">
        <v>5</v>
      </c>
    </row>
    <row r="97" spans="5:17" ht="15" customHeight="1">
      <c r="E97" s="191"/>
      <c r="F97" s="91" t="str">
        <f t="shared" si="16"/>
        <v>cc24-InspectionPassed[0]</v>
      </c>
      <c r="G97" s="11" t="s">
        <v>11</v>
      </c>
      <c r="H97" s="4" t="str">
        <f t="shared" si="17"/>
        <v>%I116.6</v>
      </c>
      <c r="M97" s="192"/>
      <c r="O97" s="14" t="s">
        <v>431</v>
      </c>
      <c r="P97" s="14" t="s">
        <v>80</v>
      </c>
      <c r="Q97" s="14">
        <v>6</v>
      </c>
    </row>
    <row r="98" spans="5:17" ht="15" customHeight="1">
      <c r="E98" s="191"/>
      <c r="F98" s="96" t="str">
        <f t="shared" si="16"/>
        <v>cc24-ResultsBufferOverrun[0]</v>
      </c>
      <c r="G98" s="12" t="s">
        <v>11</v>
      </c>
      <c r="H98" s="20" t="str">
        <f t="shared" si="17"/>
        <v>%I116.7</v>
      </c>
      <c r="M98" s="192"/>
      <c r="O98" s="14" t="s">
        <v>432</v>
      </c>
      <c r="P98" s="14" t="s">
        <v>80</v>
      </c>
      <c r="Q98" s="14">
        <v>7</v>
      </c>
    </row>
    <row r="99" spans="5:17" ht="15" customHeight="1">
      <c r="E99" s="35" t="str">
        <f t="shared" si="12"/>
        <v>Engine Status 0 (Byte 1)</v>
      </c>
      <c r="F99" s="97" t="str">
        <f t="shared" si="16"/>
        <v>cc24-SetUserDataAck[0]</v>
      </c>
      <c r="G99" s="27" t="s">
        <v>11</v>
      </c>
      <c r="H99" s="28" t="str">
        <f>P99&amp;($B$8+1)&amp;"."&amp;Q99</f>
        <v>%I117.0</v>
      </c>
      <c r="M99" s="192"/>
      <c r="N99" s="14" t="s">
        <v>433</v>
      </c>
      <c r="O99" s="14" t="s">
        <v>434</v>
      </c>
      <c r="P99" s="14" t="s">
        <v>80</v>
      </c>
      <c r="Q99" s="14">
        <v>0</v>
      </c>
    </row>
    <row r="100" spans="5:17" ht="15" customHeight="1">
      <c r="E100" s="35" t="str">
        <f t="shared" si="12"/>
        <v>Engine Status 0 (Byte 2-3)</v>
      </c>
      <c r="F100" s="97" t="str">
        <f t="shared" si="16"/>
        <v>cc24-AcquisitionID[0]</v>
      </c>
      <c r="G100" s="27" t="s">
        <v>363</v>
      </c>
      <c r="H100" s="28" t="str">
        <f>P100&amp;($B$8+2)</f>
        <v>%IW118</v>
      </c>
      <c r="M100" s="192"/>
      <c r="N100" s="14" t="s">
        <v>435</v>
      </c>
      <c r="O100" s="14" t="s">
        <v>436</v>
      </c>
      <c r="P100" s="14" t="s">
        <v>89</v>
      </c>
    </row>
    <row r="101" spans="5:17" ht="15" customHeight="1">
      <c r="E101" s="35" t="str">
        <f t="shared" si="12"/>
        <v>Engine Status 0 (Byte 4-5)</v>
      </c>
      <c r="F101" s="97" t="str">
        <f t="shared" si="16"/>
        <v>cc24-InspectedImageID[0]</v>
      </c>
      <c r="G101" s="27" t="s">
        <v>363</v>
      </c>
      <c r="H101" s="28" t="str">
        <f>P101&amp;($B$8+4)</f>
        <v>%IW120</v>
      </c>
      <c r="M101" s="192"/>
      <c r="N101" s="14" t="s">
        <v>437</v>
      </c>
      <c r="O101" s="14" t="s">
        <v>438</v>
      </c>
      <c r="P101" s="14" t="s">
        <v>89</v>
      </c>
    </row>
    <row r="102" spans="5:17" ht="15" customHeight="1">
      <c r="E102" s="35" t="str">
        <f t="shared" si="12"/>
        <v>Engine Status 0 (Byte 6-7)</v>
      </c>
      <c r="F102" s="97" t="str">
        <f t="shared" si="16"/>
        <v>cc24-InspectionResultCode[0]</v>
      </c>
      <c r="G102" s="27" t="s">
        <v>87</v>
      </c>
      <c r="H102" s="28" t="str">
        <f>P102&amp;($B$8+6)</f>
        <v>%IW122</v>
      </c>
      <c r="M102" s="192"/>
      <c r="N102" s="14" t="s">
        <v>439</v>
      </c>
      <c r="O102" s="14" t="s">
        <v>440</v>
      </c>
      <c r="P102" s="14" t="s">
        <v>89</v>
      </c>
    </row>
    <row r="103" spans="5:17" ht="15" customHeight="1">
      <c r="E103" s="35"/>
      <c r="F103" s="97"/>
      <c r="G103" s="27"/>
      <c r="H103" s="28"/>
      <c r="M103" s="192"/>
    </row>
    <row r="104" spans="5:17" ht="15" customHeight="1">
      <c r="E104" s="191" t="str">
        <f t="shared" si="12"/>
        <v>Engine Control 1</v>
      </c>
      <c r="F104" s="90" t="str">
        <f>$B$2&amp;"-"&amp;O104</f>
        <v>cc24-Trigger[1]</v>
      </c>
      <c r="G104" s="10" t="s">
        <v>11</v>
      </c>
      <c r="H104" s="25" t="str">
        <f>P104&amp;$C$9&amp;"."&amp;Q104</f>
        <v>%Q117.0</v>
      </c>
      <c r="M104" s="192"/>
      <c r="N104" s="14" t="s">
        <v>361</v>
      </c>
      <c r="O104" s="14" t="s">
        <v>441</v>
      </c>
      <c r="P104" s="14" t="s">
        <v>14</v>
      </c>
      <c r="Q104" s="14">
        <v>0</v>
      </c>
    </row>
    <row r="105" spans="5:17" ht="15" customHeight="1">
      <c r="E105" s="191"/>
      <c r="F105" s="91" t="str">
        <f>$B$2&amp;"-"&amp;O105</f>
        <v>cc24-InspectionResultsAck[1]</v>
      </c>
      <c r="G105" s="11" t="s">
        <v>11</v>
      </c>
      <c r="H105" s="4" t="str">
        <f t="shared" ref="H105:H107" si="18">P105&amp;$C$9&amp;"."&amp;Q105</f>
        <v>%Q117.1</v>
      </c>
      <c r="M105" s="192"/>
      <c r="O105" s="14" t="s">
        <v>442</v>
      </c>
      <c r="P105" s="14" t="s">
        <v>14</v>
      </c>
      <c r="Q105" s="14">
        <v>1</v>
      </c>
    </row>
    <row r="106" spans="5:17" ht="15" customHeight="1">
      <c r="E106" s="191"/>
      <c r="F106" s="91" t="str">
        <f>$B$2&amp;"-"&amp;O106</f>
        <v>cc24-ClearExposureComplete[1]</v>
      </c>
      <c r="G106" s="11" t="s">
        <v>11</v>
      </c>
      <c r="H106" s="4" t="str">
        <f t="shared" si="18"/>
        <v>%Q117.2</v>
      </c>
      <c r="M106" s="192"/>
      <c r="O106" s="14" t="s">
        <v>443</v>
      </c>
      <c r="P106" s="14" t="s">
        <v>14</v>
      </c>
      <c r="Q106" s="14">
        <v>2</v>
      </c>
    </row>
    <row r="107" spans="5:17" ht="15" customHeight="1">
      <c r="E107" s="191"/>
      <c r="F107" s="96" t="str">
        <f>$B$2&amp;"-"&amp;O107</f>
        <v>cc24-SetUserData[1]</v>
      </c>
      <c r="G107" s="12" t="s">
        <v>11</v>
      </c>
      <c r="H107" s="20" t="str">
        <f t="shared" si="18"/>
        <v>%Q117.3</v>
      </c>
      <c r="M107" s="192"/>
      <c r="O107" s="14" t="s">
        <v>444</v>
      </c>
      <c r="P107" s="14" t="s">
        <v>14</v>
      </c>
      <c r="Q107" s="14">
        <v>3</v>
      </c>
    </row>
    <row r="108" spans="5:17" ht="15" customHeight="1">
      <c r="E108" s="35"/>
      <c r="F108" s="97"/>
      <c r="G108" s="27"/>
      <c r="H108" s="28"/>
      <c r="M108" s="192"/>
    </row>
    <row r="109" spans="5:17" ht="15" customHeight="1">
      <c r="E109" s="191" t="str">
        <f t="shared" si="12"/>
        <v>Engine Status 1 (Byte 0)</v>
      </c>
      <c r="F109" s="90" t="str">
        <f t="shared" ref="F109:F120" si="19">$B$2&amp;"-"&amp;O109</f>
        <v>cc24-TriggerReady[1]</v>
      </c>
      <c r="G109" s="10" t="s">
        <v>11</v>
      </c>
      <c r="H109" s="25" t="str">
        <f>P109&amp;$B$9&amp;"."&amp;Q109</f>
        <v>%I124.0</v>
      </c>
      <c r="M109" s="192"/>
      <c r="N109" s="14" t="s">
        <v>445</v>
      </c>
      <c r="O109" s="14" t="s">
        <v>446</v>
      </c>
      <c r="P109" s="14" t="s">
        <v>80</v>
      </c>
      <c r="Q109" s="14">
        <v>0</v>
      </c>
    </row>
    <row r="110" spans="5:17" ht="15" customHeight="1">
      <c r="E110" s="191"/>
      <c r="F110" s="91" t="str">
        <f t="shared" si="19"/>
        <v>cc24-TriggerAck[1]</v>
      </c>
      <c r="G110" s="11" t="s">
        <v>11</v>
      </c>
      <c r="H110" s="4" t="str">
        <f t="shared" ref="H110:H116" si="20">P110&amp;$B$9&amp;"."&amp;Q110</f>
        <v>%I124.1</v>
      </c>
      <c r="M110" s="192"/>
      <c r="O110" s="14" t="s">
        <v>447</v>
      </c>
      <c r="P110" s="14" t="s">
        <v>80</v>
      </c>
      <c r="Q110" s="14">
        <v>1</v>
      </c>
    </row>
    <row r="111" spans="5:17" ht="15" customHeight="1">
      <c r="E111" s="191"/>
      <c r="F111" s="91" t="str">
        <f t="shared" si="19"/>
        <v>cc24-AcqError[1]</v>
      </c>
      <c r="G111" s="11" t="s">
        <v>11</v>
      </c>
      <c r="H111" s="4" t="str">
        <f t="shared" si="20"/>
        <v>%I124.2</v>
      </c>
      <c r="M111" s="192"/>
      <c r="O111" s="14" t="s">
        <v>448</v>
      </c>
      <c r="P111" s="14" t="s">
        <v>80</v>
      </c>
      <c r="Q111" s="14">
        <v>2</v>
      </c>
    </row>
    <row r="112" spans="5:17" ht="15" customHeight="1">
      <c r="E112" s="191"/>
      <c r="F112" s="91" t="str">
        <f t="shared" si="19"/>
        <v>cc24-ExposureComplete[1]</v>
      </c>
      <c r="G112" s="11" t="s">
        <v>11</v>
      </c>
      <c r="H112" s="4" t="str">
        <f t="shared" si="20"/>
        <v>%I124.3</v>
      </c>
      <c r="M112" s="192"/>
      <c r="O112" s="14" t="s">
        <v>449</v>
      </c>
      <c r="P112" s="14" t="s">
        <v>80</v>
      </c>
      <c r="Q112" s="14">
        <v>3</v>
      </c>
    </row>
    <row r="113" spans="5:17" ht="15" customHeight="1">
      <c r="E113" s="191"/>
      <c r="F113" s="91" t="str">
        <f t="shared" si="19"/>
        <v>cc24-InspectionCompleted[1]</v>
      </c>
      <c r="G113" s="11" t="s">
        <v>11</v>
      </c>
      <c r="H113" s="4" t="str">
        <f t="shared" si="20"/>
        <v>%I124.4</v>
      </c>
      <c r="M113" s="192"/>
      <c r="O113" s="14" t="s">
        <v>450</v>
      </c>
      <c r="P113" s="14" t="s">
        <v>80</v>
      </c>
      <c r="Q113" s="14">
        <v>4</v>
      </c>
    </row>
    <row r="114" spans="5:17" ht="15" customHeight="1">
      <c r="E114" s="191"/>
      <c r="F114" s="91" t="str">
        <f t="shared" si="19"/>
        <v>cc24-ResultsValid[1]</v>
      </c>
      <c r="G114" s="11" t="s">
        <v>11</v>
      </c>
      <c r="H114" s="4" t="str">
        <f t="shared" si="20"/>
        <v>%I124.5</v>
      </c>
      <c r="M114" s="192"/>
      <c r="O114" s="14" t="s">
        <v>451</v>
      </c>
      <c r="P114" s="14" t="s">
        <v>80</v>
      </c>
      <c r="Q114" s="14">
        <v>5</v>
      </c>
    </row>
    <row r="115" spans="5:17" ht="15" customHeight="1">
      <c r="E115" s="191"/>
      <c r="F115" s="91" t="str">
        <f t="shared" si="19"/>
        <v>cc24-InspectionPassed[1]</v>
      </c>
      <c r="G115" s="11" t="s">
        <v>11</v>
      </c>
      <c r="H115" s="4" t="str">
        <f t="shared" si="20"/>
        <v>%I124.6</v>
      </c>
      <c r="M115" s="192"/>
      <c r="O115" s="14" t="s">
        <v>452</v>
      </c>
      <c r="P115" s="14" t="s">
        <v>80</v>
      </c>
      <c r="Q115" s="14">
        <v>6</v>
      </c>
    </row>
    <row r="116" spans="5:17" ht="15" customHeight="1">
      <c r="E116" s="191"/>
      <c r="F116" s="96" t="str">
        <f t="shared" si="19"/>
        <v>cc24-ResultsBufferOverrun[1]</v>
      </c>
      <c r="G116" s="12" t="s">
        <v>11</v>
      </c>
      <c r="H116" s="20" t="str">
        <f t="shared" si="20"/>
        <v>%I124.7</v>
      </c>
      <c r="M116" s="192"/>
      <c r="O116" s="14" t="s">
        <v>453</v>
      </c>
      <c r="P116" s="14" t="s">
        <v>80</v>
      </c>
      <c r="Q116" s="14">
        <v>7</v>
      </c>
    </row>
    <row r="117" spans="5:17" ht="15" customHeight="1">
      <c r="E117" s="35" t="str">
        <f t="shared" si="12"/>
        <v>Engine Status 1 (Byte 1)</v>
      </c>
      <c r="F117" s="97" t="str">
        <f t="shared" si="19"/>
        <v>cc24-SetUserDataAck[1]</v>
      </c>
      <c r="G117" s="27" t="s">
        <v>11</v>
      </c>
      <c r="H117" s="28" t="str">
        <f>P117&amp;($B$9+1)&amp;"."&amp;Q117</f>
        <v>%I125.0</v>
      </c>
      <c r="M117" s="192"/>
      <c r="N117" s="14" t="s">
        <v>454</v>
      </c>
      <c r="O117" s="14" t="s">
        <v>455</v>
      </c>
      <c r="P117" s="14" t="s">
        <v>80</v>
      </c>
      <c r="Q117" s="14">
        <v>0</v>
      </c>
    </row>
    <row r="118" spans="5:17" ht="15" customHeight="1">
      <c r="E118" s="35" t="str">
        <f t="shared" si="12"/>
        <v>Engine Status 1 (Byte 2-3)</v>
      </c>
      <c r="F118" s="97" t="str">
        <f t="shared" si="19"/>
        <v>cc24-AcquisitionID[1]</v>
      </c>
      <c r="G118" s="27" t="s">
        <v>363</v>
      </c>
      <c r="H118" s="28" t="str">
        <f>P118&amp;($B$9+2)</f>
        <v>%IW126</v>
      </c>
      <c r="M118" s="192"/>
      <c r="N118" s="14" t="s">
        <v>456</v>
      </c>
      <c r="O118" s="14" t="s">
        <v>457</v>
      </c>
      <c r="P118" s="14" t="s">
        <v>89</v>
      </c>
    </row>
    <row r="119" spans="5:17" ht="15" customHeight="1">
      <c r="E119" s="35" t="str">
        <f t="shared" si="12"/>
        <v>Engine Status 1 (Byte 4-5)</v>
      </c>
      <c r="F119" s="97" t="str">
        <f t="shared" si="19"/>
        <v>cc24-InspectedImageID[1]</v>
      </c>
      <c r="G119" s="27" t="s">
        <v>363</v>
      </c>
      <c r="H119" s="28" t="str">
        <f>P119&amp;($B$9+4)</f>
        <v>%IW128</v>
      </c>
      <c r="M119" s="192"/>
      <c r="N119" s="14" t="s">
        <v>458</v>
      </c>
      <c r="O119" s="14" t="s">
        <v>459</v>
      </c>
      <c r="P119" s="14" t="s">
        <v>89</v>
      </c>
    </row>
    <row r="120" spans="5:17" ht="15" customHeight="1">
      <c r="E120" s="35" t="str">
        <f t="shared" si="12"/>
        <v>Engine Status 1 (Byte 6-7)</v>
      </c>
      <c r="F120" s="97" t="str">
        <f t="shared" si="19"/>
        <v>cc24-InspectionResultCode[1]</v>
      </c>
      <c r="G120" s="27" t="s">
        <v>87</v>
      </c>
      <c r="H120" s="28" t="str">
        <f>P120&amp;($B$9+6)</f>
        <v>%IW130</v>
      </c>
      <c r="M120" s="192"/>
      <c r="N120" s="14" t="s">
        <v>460</v>
      </c>
      <c r="O120" s="14" t="s">
        <v>461</v>
      </c>
      <c r="P120" s="14" t="s">
        <v>89</v>
      </c>
    </row>
    <row r="121" spans="5:17" ht="15" customHeight="1">
      <c r="E121" s="35"/>
      <c r="F121" s="97"/>
      <c r="G121" s="27"/>
      <c r="H121" s="28"/>
      <c r="M121" s="192"/>
    </row>
    <row r="122" spans="5:17" ht="15" customHeight="1">
      <c r="E122" s="191" t="str">
        <f t="shared" si="12"/>
        <v>Engine Control 2</v>
      </c>
      <c r="F122" s="90" t="str">
        <f>$B$2&amp;"-"&amp;O122</f>
        <v>cc24-Trigger[2]</v>
      </c>
      <c r="G122" s="10" t="s">
        <v>11</v>
      </c>
      <c r="H122" s="25" t="str">
        <f>P122&amp;$C$10&amp;"."&amp;Q122</f>
        <v>%Q118.0</v>
      </c>
      <c r="M122" s="192"/>
      <c r="N122" s="14" t="s">
        <v>362</v>
      </c>
      <c r="O122" s="14" t="s">
        <v>462</v>
      </c>
      <c r="P122" s="14" t="s">
        <v>14</v>
      </c>
      <c r="Q122" s="14">
        <v>0</v>
      </c>
    </row>
    <row r="123" spans="5:17" ht="15" customHeight="1">
      <c r="E123" s="191"/>
      <c r="F123" s="91" t="str">
        <f>$B$2&amp;"-"&amp;O123</f>
        <v>cc24-InspectionResultsAck[2]</v>
      </c>
      <c r="G123" s="11" t="s">
        <v>11</v>
      </c>
      <c r="H123" s="4" t="str">
        <f t="shared" ref="H123:H125" si="21">P123&amp;$C$10&amp;"."&amp;Q123</f>
        <v>%Q118.1</v>
      </c>
      <c r="M123" s="192"/>
      <c r="O123" s="14" t="s">
        <v>463</v>
      </c>
      <c r="P123" s="14" t="s">
        <v>14</v>
      </c>
      <c r="Q123" s="14">
        <v>1</v>
      </c>
    </row>
    <row r="124" spans="5:17" ht="15" customHeight="1">
      <c r="E124" s="191"/>
      <c r="F124" s="91" t="str">
        <f>$B$2&amp;"-"&amp;O124</f>
        <v>cc24-ClearExposureComplete[2]</v>
      </c>
      <c r="G124" s="11" t="s">
        <v>11</v>
      </c>
      <c r="H124" s="4" t="str">
        <f t="shared" si="21"/>
        <v>%Q118.2</v>
      </c>
      <c r="M124" s="192"/>
      <c r="O124" s="14" t="s">
        <v>464</v>
      </c>
      <c r="P124" s="14" t="s">
        <v>14</v>
      </c>
      <c r="Q124" s="14">
        <v>2</v>
      </c>
    </row>
    <row r="125" spans="5:17" ht="15" customHeight="1">
      <c r="E125" s="191"/>
      <c r="F125" s="96" t="str">
        <f>$B$2&amp;"-"&amp;O125</f>
        <v>cc24-SetUserData[2]</v>
      </c>
      <c r="G125" s="12" t="s">
        <v>11</v>
      </c>
      <c r="H125" s="20" t="str">
        <f t="shared" si="21"/>
        <v>%Q118.3</v>
      </c>
      <c r="M125" s="192"/>
      <c r="O125" s="14" t="s">
        <v>465</v>
      </c>
      <c r="P125" s="14" t="s">
        <v>14</v>
      </c>
      <c r="Q125" s="14">
        <v>3</v>
      </c>
    </row>
    <row r="126" spans="5:17" ht="15" customHeight="1">
      <c r="E126" s="35"/>
      <c r="F126" s="97"/>
      <c r="G126" s="27"/>
      <c r="H126" s="28"/>
      <c r="M126" s="192"/>
    </row>
    <row r="127" spans="5:17" ht="15" customHeight="1">
      <c r="E127" s="191" t="str">
        <f t="shared" si="12"/>
        <v>Engine Status 2 (Byte 0)</v>
      </c>
      <c r="F127" s="90" t="str">
        <f t="shared" ref="F127:F138" si="22">$B$2&amp;"-"&amp;O127</f>
        <v>cc24-TriggerReady[2]</v>
      </c>
      <c r="G127" s="10" t="s">
        <v>11</v>
      </c>
      <c r="H127" s="25" t="str">
        <f>P127&amp;$B$10&amp;"."&amp;Q127</f>
        <v>%I132.0</v>
      </c>
      <c r="M127" s="192"/>
      <c r="N127" s="14" t="s">
        <v>466</v>
      </c>
      <c r="O127" s="14" t="s">
        <v>467</v>
      </c>
      <c r="P127" s="14" t="s">
        <v>80</v>
      </c>
      <c r="Q127" s="14">
        <v>0</v>
      </c>
    </row>
    <row r="128" spans="5:17" ht="15" customHeight="1">
      <c r="E128" s="191"/>
      <c r="F128" s="91" t="str">
        <f t="shared" si="22"/>
        <v>cc24-TriggerAck[2]</v>
      </c>
      <c r="G128" s="11" t="s">
        <v>11</v>
      </c>
      <c r="H128" s="4" t="str">
        <f t="shared" ref="H128:H134" si="23">P128&amp;$B$10&amp;"."&amp;Q128</f>
        <v>%I132.1</v>
      </c>
      <c r="M128" s="192"/>
      <c r="O128" s="14" t="s">
        <v>468</v>
      </c>
      <c r="P128" s="14" t="s">
        <v>80</v>
      </c>
      <c r="Q128" s="14">
        <v>1</v>
      </c>
    </row>
    <row r="129" spans="5:17" ht="15" customHeight="1">
      <c r="E129" s="191"/>
      <c r="F129" s="91" t="str">
        <f t="shared" si="22"/>
        <v>cc24-AcqError[2]</v>
      </c>
      <c r="G129" s="11" t="s">
        <v>11</v>
      </c>
      <c r="H129" s="4" t="str">
        <f t="shared" si="23"/>
        <v>%I132.2</v>
      </c>
      <c r="M129" s="192"/>
      <c r="O129" s="14" t="s">
        <v>469</v>
      </c>
      <c r="P129" s="14" t="s">
        <v>80</v>
      </c>
      <c r="Q129" s="14">
        <v>2</v>
      </c>
    </row>
    <row r="130" spans="5:17" ht="15" customHeight="1">
      <c r="E130" s="191"/>
      <c r="F130" s="91" t="str">
        <f t="shared" si="22"/>
        <v>cc24-ExposureComplete[2]</v>
      </c>
      <c r="G130" s="11" t="s">
        <v>11</v>
      </c>
      <c r="H130" s="4" t="str">
        <f t="shared" si="23"/>
        <v>%I132.3</v>
      </c>
      <c r="M130" s="192"/>
      <c r="O130" s="14" t="s">
        <v>470</v>
      </c>
      <c r="P130" s="14" t="s">
        <v>80</v>
      </c>
      <c r="Q130" s="14">
        <v>3</v>
      </c>
    </row>
    <row r="131" spans="5:17" ht="15" customHeight="1">
      <c r="E131" s="191"/>
      <c r="F131" s="91" t="str">
        <f t="shared" si="22"/>
        <v>cc24-InspectionCompleted[2]</v>
      </c>
      <c r="G131" s="11" t="s">
        <v>11</v>
      </c>
      <c r="H131" s="4" t="str">
        <f t="shared" si="23"/>
        <v>%I132.4</v>
      </c>
      <c r="M131" s="192"/>
      <c r="O131" s="14" t="s">
        <v>471</v>
      </c>
      <c r="P131" s="14" t="s">
        <v>80</v>
      </c>
      <c r="Q131" s="14">
        <v>4</v>
      </c>
    </row>
    <row r="132" spans="5:17" ht="15" customHeight="1">
      <c r="E132" s="191"/>
      <c r="F132" s="91" t="str">
        <f t="shared" si="22"/>
        <v>cc24-ResultsValid[2]</v>
      </c>
      <c r="G132" s="11" t="s">
        <v>11</v>
      </c>
      <c r="H132" s="4" t="str">
        <f t="shared" si="23"/>
        <v>%I132.5</v>
      </c>
      <c r="M132" s="192"/>
      <c r="O132" s="14" t="s">
        <v>472</v>
      </c>
      <c r="P132" s="14" t="s">
        <v>80</v>
      </c>
      <c r="Q132" s="14">
        <v>5</v>
      </c>
    </row>
    <row r="133" spans="5:17" ht="15" customHeight="1">
      <c r="E133" s="191"/>
      <c r="F133" s="91" t="str">
        <f t="shared" si="22"/>
        <v>cc24-InspectionPassed[2]</v>
      </c>
      <c r="G133" s="11" t="s">
        <v>11</v>
      </c>
      <c r="H133" s="4" t="str">
        <f t="shared" si="23"/>
        <v>%I132.6</v>
      </c>
      <c r="M133" s="192"/>
      <c r="O133" s="14" t="s">
        <v>473</v>
      </c>
      <c r="P133" s="14" t="s">
        <v>80</v>
      </c>
      <c r="Q133" s="14">
        <v>6</v>
      </c>
    </row>
    <row r="134" spans="5:17" ht="15" customHeight="1">
      <c r="E134" s="191"/>
      <c r="F134" s="96" t="str">
        <f t="shared" si="22"/>
        <v>cc24-ResultsBufferOverrun[2]</v>
      </c>
      <c r="G134" s="12" t="s">
        <v>11</v>
      </c>
      <c r="H134" s="20" t="str">
        <f t="shared" si="23"/>
        <v>%I132.7</v>
      </c>
      <c r="M134" s="192"/>
      <c r="O134" s="14" t="s">
        <v>474</v>
      </c>
      <c r="P134" s="14" t="s">
        <v>80</v>
      </c>
      <c r="Q134" s="14">
        <v>7</v>
      </c>
    </row>
    <row r="135" spans="5:17" ht="15" customHeight="1">
      <c r="E135" s="35" t="str">
        <f t="shared" ref="E135:E155" si="24">N135</f>
        <v>Engine Status 2 (Byte 1)</v>
      </c>
      <c r="F135" s="97" t="str">
        <f t="shared" si="22"/>
        <v>cc24-SetUserDataAck[2]</v>
      </c>
      <c r="G135" s="27" t="s">
        <v>11</v>
      </c>
      <c r="H135" s="28" t="str">
        <f>P135&amp;($B$10+1)&amp;"."&amp;Q135</f>
        <v>%I133.0</v>
      </c>
      <c r="M135" s="192"/>
      <c r="N135" s="14" t="s">
        <v>475</v>
      </c>
      <c r="O135" s="14" t="s">
        <v>476</v>
      </c>
      <c r="P135" s="14" t="s">
        <v>80</v>
      </c>
      <c r="Q135" s="14">
        <v>0</v>
      </c>
    </row>
    <row r="136" spans="5:17" ht="15" customHeight="1">
      <c r="E136" s="35" t="str">
        <f t="shared" si="24"/>
        <v>Engine Status 2 (Byte 2-3)</v>
      </c>
      <c r="F136" s="97" t="str">
        <f t="shared" si="22"/>
        <v>cc24-AcquisitionID[2]</v>
      </c>
      <c r="G136" s="27" t="s">
        <v>363</v>
      </c>
      <c r="H136" s="28" t="str">
        <f>P136&amp;($B$10+2)</f>
        <v>%IW134</v>
      </c>
      <c r="M136" s="192"/>
      <c r="N136" s="14" t="s">
        <v>477</v>
      </c>
      <c r="O136" s="14" t="s">
        <v>478</v>
      </c>
      <c r="P136" s="14" t="s">
        <v>89</v>
      </c>
    </row>
    <row r="137" spans="5:17" ht="15" customHeight="1">
      <c r="E137" s="35" t="str">
        <f t="shared" si="24"/>
        <v>Engine Status 2 (Byte 4-5)</v>
      </c>
      <c r="F137" s="97" t="str">
        <f t="shared" si="22"/>
        <v>cc24-InspectedImageID[2]</v>
      </c>
      <c r="G137" s="27" t="s">
        <v>363</v>
      </c>
      <c r="H137" s="28" t="str">
        <f>P137&amp;($B$10+4)</f>
        <v>%IW136</v>
      </c>
      <c r="M137" s="192"/>
      <c r="N137" s="14" t="s">
        <v>479</v>
      </c>
      <c r="O137" s="14" t="s">
        <v>480</v>
      </c>
      <c r="P137" s="14" t="s">
        <v>89</v>
      </c>
    </row>
    <row r="138" spans="5:17" ht="15" customHeight="1">
      <c r="E138" s="35" t="str">
        <f t="shared" si="24"/>
        <v>Engine Status 2 (Byte 6-7)</v>
      </c>
      <c r="F138" s="97" t="str">
        <f t="shared" si="22"/>
        <v>cc24-InspectionResultCode[2]</v>
      </c>
      <c r="G138" s="27" t="s">
        <v>87</v>
      </c>
      <c r="H138" s="28" t="str">
        <f>P138&amp;($B$10+6)</f>
        <v>%IW138</v>
      </c>
      <c r="M138" s="192"/>
      <c r="N138" s="14" t="s">
        <v>481</v>
      </c>
      <c r="O138" s="14" t="s">
        <v>482</v>
      </c>
      <c r="P138" s="14" t="s">
        <v>89</v>
      </c>
    </row>
    <row r="139" spans="5:17" ht="15" customHeight="1">
      <c r="E139" s="35"/>
      <c r="F139" s="97"/>
      <c r="G139" s="27"/>
      <c r="H139" s="28"/>
      <c r="M139" s="192"/>
    </row>
    <row r="140" spans="5:17" ht="15" customHeight="1">
      <c r="E140" s="191" t="str">
        <f t="shared" si="24"/>
        <v>Engine Control 3</v>
      </c>
      <c r="F140" s="90" t="str">
        <f>$B$2&amp;"-"&amp;O140</f>
        <v>cc24-Trigger[3]</v>
      </c>
      <c r="G140" s="10" t="s">
        <v>11</v>
      </c>
      <c r="H140" s="25" t="str">
        <f>P140&amp;$C$11&amp;"."&amp;Q140</f>
        <v>%Q119.0</v>
      </c>
      <c r="M140" s="192"/>
      <c r="N140" s="14" t="s">
        <v>366</v>
      </c>
      <c r="O140" s="14" t="s">
        <v>483</v>
      </c>
      <c r="P140" s="14" t="s">
        <v>14</v>
      </c>
      <c r="Q140" s="14">
        <v>0</v>
      </c>
    </row>
    <row r="141" spans="5:17" ht="15" customHeight="1">
      <c r="E141" s="191"/>
      <c r="F141" s="91" t="str">
        <f>$B$2&amp;"-"&amp;O141</f>
        <v>cc24-InspectionResultsAck[3]</v>
      </c>
      <c r="G141" s="11" t="s">
        <v>11</v>
      </c>
      <c r="H141" s="4" t="str">
        <f t="shared" ref="H141:H143" si="25">P141&amp;$C$11&amp;"."&amp;Q141</f>
        <v>%Q119.1</v>
      </c>
      <c r="M141" s="192"/>
      <c r="O141" s="14" t="s">
        <v>484</v>
      </c>
      <c r="P141" s="14" t="s">
        <v>14</v>
      </c>
      <c r="Q141" s="14">
        <v>1</v>
      </c>
    </row>
    <row r="142" spans="5:17" ht="15" customHeight="1">
      <c r="E142" s="191"/>
      <c r="F142" s="91" t="str">
        <f>$B$2&amp;"-"&amp;O142</f>
        <v>cc24-ClearExposureComplete[3]</v>
      </c>
      <c r="G142" s="11" t="s">
        <v>11</v>
      </c>
      <c r="H142" s="4" t="str">
        <f t="shared" si="25"/>
        <v>%Q119.2</v>
      </c>
      <c r="M142" s="192"/>
      <c r="O142" s="14" t="s">
        <v>485</v>
      </c>
      <c r="P142" s="14" t="s">
        <v>14</v>
      </c>
      <c r="Q142" s="14">
        <v>2</v>
      </c>
    </row>
    <row r="143" spans="5:17" ht="15" customHeight="1">
      <c r="E143" s="191"/>
      <c r="F143" s="96" t="str">
        <f>$B$2&amp;"-"&amp;O143</f>
        <v>cc24-SetUserData[3]</v>
      </c>
      <c r="G143" s="12" t="s">
        <v>11</v>
      </c>
      <c r="H143" s="20" t="str">
        <f t="shared" si="25"/>
        <v>%Q119.3</v>
      </c>
      <c r="M143" s="192"/>
      <c r="O143" s="14" t="s">
        <v>486</v>
      </c>
      <c r="P143" s="14" t="s">
        <v>14</v>
      </c>
      <c r="Q143" s="14">
        <v>3</v>
      </c>
    </row>
    <row r="144" spans="5:17" ht="15" customHeight="1">
      <c r="E144" s="35"/>
      <c r="F144" s="97"/>
      <c r="G144" s="27"/>
      <c r="H144" s="28"/>
      <c r="M144" s="192"/>
    </row>
    <row r="145" spans="5:17" ht="15" customHeight="1">
      <c r="E145" s="191" t="str">
        <f t="shared" si="24"/>
        <v>Engine Status 3 (Byte 0)</v>
      </c>
      <c r="F145" s="90" t="str">
        <f t="shared" ref="F145:F156" si="26">$B$2&amp;"-"&amp;O145</f>
        <v>cc24-TriggerReady[3]</v>
      </c>
      <c r="G145" s="10" t="s">
        <v>11</v>
      </c>
      <c r="H145" s="25" t="str">
        <f>P145&amp;$B$11&amp;"."&amp;Q145</f>
        <v>%I140.0</v>
      </c>
      <c r="M145" s="192"/>
      <c r="N145" s="14" t="s">
        <v>487</v>
      </c>
      <c r="O145" s="14" t="s">
        <v>488</v>
      </c>
      <c r="P145" s="14" t="s">
        <v>80</v>
      </c>
      <c r="Q145" s="14">
        <v>0</v>
      </c>
    </row>
    <row r="146" spans="5:17" ht="15" customHeight="1">
      <c r="E146" s="191"/>
      <c r="F146" s="91" t="str">
        <f t="shared" si="26"/>
        <v>cc24-TriggerAck[3]</v>
      </c>
      <c r="G146" s="11" t="s">
        <v>11</v>
      </c>
      <c r="H146" s="4" t="str">
        <f t="shared" ref="H146:H152" si="27">P146&amp;$B$11&amp;"."&amp;Q146</f>
        <v>%I140.1</v>
      </c>
      <c r="M146" s="192"/>
      <c r="O146" s="14" t="s">
        <v>489</v>
      </c>
      <c r="P146" s="14" t="s">
        <v>80</v>
      </c>
      <c r="Q146" s="14">
        <v>1</v>
      </c>
    </row>
    <row r="147" spans="5:17" ht="15" customHeight="1">
      <c r="E147" s="191"/>
      <c r="F147" s="91" t="str">
        <f t="shared" si="26"/>
        <v>cc24-AcqError[3]</v>
      </c>
      <c r="G147" s="11" t="s">
        <v>11</v>
      </c>
      <c r="H147" s="4" t="str">
        <f t="shared" si="27"/>
        <v>%I140.2</v>
      </c>
      <c r="M147" s="192"/>
      <c r="O147" s="14" t="s">
        <v>490</v>
      </c>
      <c r="P147" s="14" t="s">
        <v>80</v>
      </c>
      <c r="Q147" s="14">
        <v>2</v>
      </c>
    </row>
    <row r="148" spans="5:17" ht="15" customHeight="1">
      <c r="E148" s="191"/>
      <c r="F148" s="91" t="str">
        <f t="shared" si="26"/>
        <v>cc24-ExposureComplete[3]</v>
      </c>
      <c r="G148" s="11" t="s">
        <v>11</v>
      </c>
      <c r="H148" s="4" t="str">
        <f t="shared" si="27"/>
        <v>%I140.3</v>
      </c>
      <c r="M148" s="192"/>
      <c r="O148" s="14" t="s">
        <v>491</v>
      </c>
      <c r="P148" s="14" t="s">
        <v>80</v>
      </c>
      <c r="Q148" s="14">
        <v>3</v>
      </c>
    </row>
    <row r="149" spans="5:17" ht="15" customHeight="1">
      <c r="E149" s="191"/>
      <c r="F149" s="91" t="str">
        <f t="shared" si="26"/>
        <v>cc24-InspectionCompleted[3]</v>
      </c>
      <c r="G149" s="11" t="s">
        <v>11</v>
      </c>
      <c r="H149" s="4" t="str">
        <f t="shared" si="27"/>
        <v>%I140.4</v>
      </c>
      <c r="M149" s="192"/>
      <c r="O149" s="14" t="s">
        <v>492</v>
      </c>
      <c r="P149" s="14" t="s">
        <v>80</v>
      </c>
      <c r="Q149" s="14">
        <v>4</v>
      </c>
    </row>
    <row r="150" spans="5:17" ht="15" customHeight="1">
      <c r="E150" s="191"/>
      <c r="F150" s="91" t="str">
        <f t="shared" si="26"/>
        <v>cc24-ResultsValid[3]</v>
      </c>
      <c r="G150" s="11" t="s">
        <v>11</v>
      </c>
      <c r="H150" s="4" t="str">
        <f t="shared" si="27"/>
        <v>%I140.5</v>
      </c>
      <c r="M150" s="192"/>
      <c r="O150" s="14" t="s">
        <v>493</v>
      </c>
      <c r="P150" s="14" t="s">
        <v>80</v>
      </c>
      <c r="Q150" s="14">
        <v>5</v>
      </c>
    </row>
    <row r="151" spans="5:17" ht="15" customHeight="1">
      <c r="E151" s="191"/>
      <c r="F151" s="91" t="str">
        <f t="shared" si="26"/>
        <v>cc24-InspectionPassed[3]</v>
      </c>
      <c r="G151" s="11" t="s">
        <v>11</v>
      </c>
      <c r="H151" s="4" t="str">
        <f t="shared" si="27"/>
        <v>%I140.6</v>
      </c>
      <c r="M151" s="192"/>
      <c r="O151" s="14" t="s">
        <v>494</v>
      </c>
      <c r="P151" s="14" t="s">
        <v>80</v>
      </c>
      <c r="Q151" s="14">
        <v>6</v>
      </c>
    </row>
    <row r="152" spans="5:17" ht="15" customHeight="1">
      <c r="E152" s="191"/>
      <c r="F152" s="96" t="str">
        <f t="shared" si="26"/>
        <v>cc24-ResultsBufferOverrun[3]</v>
      </c>
      <c r="G152" s="12" t="s">
        <v>11</v>
      </c>
      <c r="H152" s="20" t="str">
        <f t="shared" si="27"/>
        <v>%I140.7</v>
      </c>
      <c r="M152" s="192"/>
      <c r="O152" s="14" t="s">
        <v>495</v>
      </c>
      <c r="P152" s="14" t="s">
        <v>80</v>
      </c>
      <c r="Q152" s="14">
        <v>7</v>
      </c>
    </row>
    <row r="153" spans="5:17" ht="15" customHeight="1">
      <c r="E153" s="35" t="str">
        <f t="shared" si="24"/>
        <v>Engine Status 3 (Byte 1)</v>
      </c>
      <c r="F153" s="97" t="str">
        <f t="shared" si="26"/>
        <v>cc24-SetUserDataAck[3]</v>
      </c>
      <c r="G153" s="27" t="s">
        <v>11</v>
      </c>
      <c r="H153" s="28" t="str">
        <f>P153&amp;($B$11+1)&amp;"."&amp;Q153</f>
        <v>%I141.0</v>
      </c>
      <c r="M153" s="192"/>
      <c r="N153" s="14" t="s">
        <v>496</v>
      </c>
      <c r="O153" s="14" t="s">
        <v>497</v>
      </c>
      <c r="P153" s="14" t="s">
        <v>80</v>
      </c>
      <c r="Q153" s="14">
        <v>0</v>
      </c>
    </row>
    <row r="154" spans="5:17" ht="15" customHeight="1">
      <c r="E154" s="35" t="str">
        <f t="shared" si="24"/>
        <v>Engine Status 3 (Byte 2-3)</v>
      </c>
      <c r="F154" s="97" t="str">
        <f t="shared" si="26"/>
        <v>cc24-AcquisitionID[3]</v>
      </c>
      <c r="G154" s="27" t="s">
        <v>363</v>
      </c>
      <c r="H154" s="28" t="str">
        <f>P154&amp;($B$11+2)</f>
        <v>%IW142</v>
      </c>
      <c r="M154" s="192"/>
      <c r="N154" s="14" t="s">
        <v>498</v>
      </c>
      <c r="O154" s="14" t="s">
        <v>499</v>
      </c>
      <c r="P154" s="14" t="s">
        <v>89</v>
      </c>
    </row>
    <row r="155" spans="5:17" ht="15" customHeight="1">
      <c r="E155" s="35" t="str">
        <f t="shared" si="24"/>
        <v>Engine Status 3 (Byte 4-5)</v>
      </c>
      <c r="F155" s="97" t="str">
        <f t="shared" si="26"/>
        <v>cc24-InspectedImageID[3]</v>
      </c>
      <c r="G155" s="27" t="s">
        <v>363</v>
      </c>
      <c r="H155" s="28" t="str">
        <f>P155&amp;($B$11+4)</f>
        <v>%IW144</v>
      </c>
      <c r="M155" s="192"/>
      <c r="N155" s="14" t="s">
        <v>500</v>
      </c>
      <c r="O155" s="14" t="s">
        <v>501</v>
      </c>
      <c r="P155" s="14" t="s">
        <v>89</v>
      </c>
    </row>
    <row r="156" spans="5:17" ht="15" customHeight="1">
      <c r="E156" s="35" t="str">
        <f>N156</f>
        <v>Engine Status 3 (Byte 6-7)</v>
      </c>
      <c r="F156" s="97" t="str">
        <f t="shared" si="26"/>
        <v>cc24-InspectionResultCode[3]</v>
      </c>
      <c r="G156" s="27" t="s">
        <v>87</v>
      </c>
      <c r="H156" s="28" t="str">
        <f>P156&amp;($B$11+6)</f>
        <v>%IW146</v>
      </c>
      <c r="M156" s="192"/>
      <c r="N156" s="14" t="s">
        <v>502</v>
      </c>
      <c r="O156" s="14" t="s">
        <v>503</v>
      </c>
      <c r="P156" s="14" t="s">
        <v>89</v>
      </c>
    </row>
    <row r="157" spans="5:17" ht="15" customHeight="1">
      <c r="E157" s="35"/>
      <c r="F157" s="97"/>
      <c r="G157" s="27"/>
      <c r="H157" s="28"/>
      <c r="M157" s="192"/>
    </row>
    <row r="158" spans="5:17" ht="15" customHeight="1">
      <c r="E158" s="35" t="str">
        <f t="shared" ref="E158:E160" si="28">N158</f>
        <v>User Data</v>
      </c>
      <c r="F158" s="97" t="str">
        <f>$B$2&amp;"-"&amp;O158</f>
        <v>cc24-UserData</v>
      </c>
      <c r="G158" s="27" t="s">
        <v>172</v>
      </c>
      <c r="H158" s="28" t="str">
        <f>P158&amp;$C$12</f>
        <v>%QD120</v>
      </c>
      <c r="M158" s="192"/>
      <c r="N158" s="14" t="s">
        <v>159</v>
      </c>
      <c r="O158" s="14" t="s">
        <v>504</v>
      </c>
      <c r="P158" s="14" t="s">
        <v>174</v>
      </c>
    </row>
    <row r="159" spans="5:17" ht="15" customHeight="1">
      <c r="E159" s="35"/>
      <c r="F159" s="97"/>
      <c r="G159" s="27"/>
      <c r="H159" s="28"/>
      <c r="M159" s="192"/>
    </row>
    <row r="160" spans="5:17" ht="15" customHeight="1" thickBot="1">
      <c r="E160" s="102" t="str">
        <f t="shared" si="28"/>
        <v>Inspection Results</v>
      </c>
      <c r="F160" s="103" t="str">
        <f>$B$2&amp;"-"&amp;O160</f>
        <v>cc24-InspectionResults</v>
      </c>
      <c r="G160" s="104" t="s">
        <v>172</v>
      </c>
      <c r="H160" s="105" t="str">
        <f>P160&amp;$B$13</f>
        <v>%ID148</v>
      </c>
      <c r="M160" s="192"/>
      <c r="N160" s="14" t="s">
        <v>37</v>
      </c>
      <c r="O160" s="14" t="s">
        <v>505</v>
      </c>
      <c r="P160" s="14" t="s">
        <v>143</v>
      </c>
    </row>
  </sheetData>
  <sheetProtection sheet="1" objects="1" scenarios="1"/>
  <mergeCells count="35">
    <mergeCell ref="A22:C22"/>
    <mergeCell ref="A2:A3"/>
    <mergeCell ref="A5:A6"/>
    <mergeCell ref="A15:C15"/>
    <mergeCell ref="A16:C16"/>
    <mergeCell ref="A17:C17"/>
    <mergeCell ref="A19:C19"/>
    <mergeCell ref="A18:C18"/>
    <mergeCell ref="A20:C20"/>
    <mergeCell ref="B2:C3"/>
    <mergeCell ref="B5:C5"/>
    <mergeCell ref="A21:C21"/>
    <mergeCell ref="N2:Q2"/>
    <mergeCell ref="M4:M160"/>
    <mergeCell ref="E4:E8"/>
    <mergeCell ref="E10:E17"/>
    <mergeCell ref="E18:E25"/>
    <mergeCell ref="E26:E33"/>
    <mergeCell ref="E43:E48"/>
    <mergeCell ref="E49:E50"/>
    <mergeCell ref="E53:E60"/>
    <mergeCell ref="E61:E68"/>
    <mergeCell ref="E69:E76"/>
    <mergeCell ref="F2:H2"/>
    <mergeCell ref="E2:E3"/>
    <mergeCell ref="E127:E134"/>
    <mergeCell ref="E140:E143"/>
    <mergeCell ref="E145:E152"/>
    <mergeCell ref="E34:E41"/>
    <mergeCell ref="E77:E84"/>
    <mergeCell ref="E86:E89"/>
    <mergeCell ref="E104:E107"/>
    <mergeCell ref="E122:E125"/>
    <mergeCell ref="E91:E98"/>
    <mergeCell ref="E109:E116"/>
  </mergeCells>
  <phoneticPr fontId="13" type="noConversion"/>
  <pageMargins left="0.7" right="0.7" top="0.75" bottom="0.75" header="0.3" footer="0.3"/>
  <pageSetup orientation="portrait" r:id="rId1"/>
  <drawing r:id="rId2"/>
</worksheet>
</file>

<file path=docMetadata/LabelInfo.xml><?xml version="1.0" encoding="utf-8"?>
<clbl:labelList xmlns:clbl="http://schemas.microsoft.com/office/2020/mipLabelMetadata">
  <clbl:label id="{220b05c8-2537-41e8-aff4-fb6c522f9624}" enabled="1" method="Standard" siteId="{c12007a4-882b-4381-b05a-b783431570c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Snapp</vt:lpstr>
      <vt:lpstr>Dataman</vt:lpstr>
      <vt:lpstr>IS2800- IS3800</vt:lpstr>
      <vt:lpstr>In-Sight 5X-6X</vt:lpstr>
      <vt:lpstr>D90X</vt:lpstr>
      <vt:lpstr>L4000</vt:lpstr>
      <vt:lpstr>In-Sight 4X</vt:lpstr>
      <vt:lpstr>VIDIPC</vt:lpstr>
      <vt:lpstr>Profiler</vt:lpstr>
      <vt:lpstr>CC24 &amp; VC5</vt:lpstr>
      <vt:lpstr>'In-Sight 4X'!AcquisitionControlModule</vt:lpstr>
      <vt:lpstr>'In-Sight 4X'!AcquisitionStatusModule</vt:lpstr>
      <vt:lpstr>'In-Sight 4X'!InspectionControlModule</vt:lpstr>
      <vt:lpstr>'In-Sight 4X'!InspectionResultsModule</vt:lpstr>
      <vt:lpstr>'In-Sight 4X'!InspectionStatusModule</vt:lpstr>
      <vt:lpstr>'In-Sight 4X'!JobControlInputModule</vt:lpstr>
      <vt:lpstr>'In-Sight 4X'!UserDataModule</vt:lpstr>
    </vt:vector>
  </TitlesOfParts>
  <Manager/>
  <Company>cognex corp.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Matthew R Taylor</dc:creator>
  <cp:keywords/>
  <dc:description/>
  <cp:lastModifiedBy>Taylor, Matthew</cp:lastModifiedBy>
  <cp:revision/>
  <dcterms:created xsi:type="dcterms:W3CDTF">2016-08-31T20:39:56Z</dcterms:created>
  <dcterms:modified xsi:type="dcterms:W3CDTF">2025-03-17T19:00:52Z</dcterms:modified>
  <cp:category/>
  <cp:contentStatus/>
</cp:coreProperties>
</file>